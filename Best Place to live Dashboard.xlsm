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pivotCache/pivotCacheDefinition7.xml" ContentType="application/vnd.openxmlformats-officedocument.spreadsheetml.pivotCacheDefinition+xml"/>
  <Override PartName="/xl/pivotTables/pivotTable1.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2.xml" ContentType="application/vnd.openxmlformats-officedocument.spreadsheetml.table+xml"/>
  <Override PartName="/xl/pivotTables/pivotTable5.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6.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mc:AlternateContent xmlns:mc="http://schemas.openxmlformats.org/markup-compatibility/2006">
    <mc:Choice Requires="x15">
      <x15ac:absPath xmlns:x15ac="http://schemas.microsoft.com/office/spreadsheetml/2010/11/ac" url="https://d.docs.live.net/8e91ecccd51baf42/Desktop/Documents/"/>
    </mc:Choice>
  </mc:AlternateContent>
  <xr:revisionPtr revIDLastSave="638" documentId="13_ncr:1_{C83EABE3-C31E-439D-8DAA-F3080842BB09}" xr6:coauthVersionLast="47" xr6:coauthVersionMax="47" xr10:uidLastSave="{CCADB66A-09F6-41D0-8B51-A45310B8375D}"/>
  <bookViews>
    <workbookView xWindow="-98" yWindow="-98" windowWidth="19396" windowHeight="11475" xr2:uid="{4CE451F9-FB03-420B-B3ED-CF2CE65D49E6}"/>
  </bookViews>
  <sheets>
    <sheet name="Dashboard" sheetId="10" r:id="rId1"/>
    <sheet name="More Details" sheetId="15" r:id="rId2"/>
    <sheet name="Tax rates" sheetId="2" r:id="rId3"/>
    <sheet name="Transportation" sheetId="5" r:id="rId4"/>
    <sheet name="Cost of living" sheetId="4" r:id="rId5"/>
    <sheet name="Healthcare" sheetId="6" r:id="rId6"/>
    <sheet name="Safety rate" sheetId="12" r:id="rId7"/>
    <sheet name="Temperature" sheetId="9" r:id="rId8"/>
    <sheet name="Biblography" sheetId="11" r:id="rId9"/>
  </sheets>
  <definedNames>
    <definedName name="_xlcn.WorksheetConnection_Bestplacetolive1.xlsmTemp1" hidden="1">Temp[]</definedName>
    <definedName name="_xlcn.WorksheetConnection_Bestplacetolive1.xlsxCost_of_living1" hidden="1">Cost_of_living[]</definedName>
    <definedName name="_xlcn.WorksheetConnection_Bestplacetolive1.xlsxHealthcare1" hidden="1">Healthcare[]</definedName>
    <definedName name="_xlcn.WorksheetConnection_Bestplacetolive1.xlsxSafety_Rate1" hidden="1">Safety_Rate[]</definedName>
    <definedName name="_xlcn.WorksheetConnection_Bestplacetolive1.xlsxTax1" hidden="1">Tax[]</definedName>
    <definedName name="_xlcn.WorksheetConnection_Bestplacetolive1.xlsxTemperature1" hidden="1">Temperature[]</definedName>
    <definedName name="_xlcn.WorksheetConnection_Bestplacetolive1.xlsxTransportation1" hidden="1">Transportation[]</definedName>
    <definedName name="Slicer_City">#N/A</definedName>
  </definedNames>
  <calcPr calcId="191029"/>
  <pivotCaches>
    <pivotCache cacheId="0" r:id="rId10"/>
    <pivotCache cacheId="69" r:id="rId11"/>
    <pivotCache cacheId="72" r:id="rId12"/>
    <pivotCache cacheId="75" r:id="rId13"/>
    <pivotCache cacheId="78" r:id="rId14"/>
  </pivotCaches>
  <extLst>
    <ext xmlns:x14="http://schemas.microsoft.com/office/spreadsheetml/2009/9/main" uri="{876F7934-8845-4945-9796-88D515C7AA90}">
      <x14:pivotCaches>
        <pivotCache cacheId="5" r:id="rId15"/>
      </x14:pivotCaches>
    </ex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841E416B-1EF1-43b6-AB56-02D37102CBD5}">
      <x15:pivotCaches>
        <pivotCache cacheId="81" r:id="rId17"/>
      </x15:pivotCaches>
    </ext>
    <ext xmlns:x15="http://schemas.microsoft.com/office/spreadsheetml/2010/11/main" uri="{983426D0-5260-488c-9760-48F4B6AC55F4}">
      <x15:pivotTableReferences>
        <x15:pivotTableReference r:id="rId18"/>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nsportation" name="Transportation" connection="WorksheetConnection_Best place to live (1).xlsx!Transportation"/>
          <x15:modelTable id="Temperature" name="Temperature" connection="WorksheetConnection_Best place to live (1).xlsx!Temperature"/>
          <x15:modelTable id="Tax" name="Tax" connection="WorksheetConnection_Best place to live (1).xlsx!Tax"/>
          <x15:modelTable id="Safety_Rate" name="Safety_Rate" connection="WorksheetConnection_Best place to live (1).xlsx!Safety_Rate"/>
          <x15:modelTable id="Healthcare" name="Healthcare" connection="WorksheetConnection_Best place to live (1).xlsx!Healthcare"/>
          <x15:modelTable id="Cost_of_living" name="Cost_of_living" connection="WorksheetConnection_Best place to live (1).xlsx!Cost_of_living"/>
          <x15:modelTable id="Temp" name="Temp" connection="WorksheetConnection_Best place to live (1).xlsm!Temp"/>
        </x15:modelTables>
        <x15:modelRelationships>
          <x15:modelRelationship fromTable="Tax" fromColumn="City" toTable="Cost_of_living" toColumn="City"/>
          <x15:modelRelationship fromTable="Tax" fromColumn="City" toTable="Temperature" toColumn="City"/>
          <x15:modelRelationship fromTable="Healthcare" fromColumn="City" toTable="Tax" toColumn="City"/>
          <x15:modelRelationship fromTable="Safety_Rate" fromColumn="City" toTable="Tax" toColumn="City"/>
          <x15:modelRelationship fromTable="Transportation" fromColumn="City" toTable="Tax" toColumn="City"/>
          <x15:modelRelationship fromTable="Temp" fromColumn="City" toTable="Tax" toColumn="Cit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1" i="15" l="1" a="1"/>
  <c r="E41" i="15" s="1"/>
  <c r="O9" i="10" a="1"/>
  <c r="O9" i="10" s="1"/>
  <c r="L22" i="9"/>
  <c r="L21" i="9"/>
  <c r="L20" i="9"/>
  <c r="L19" i="9"/>
  <c r="L18" i="9"/>
  <c r="L17" i="9"/>
  <c r="L16" i="9"/>
  <c r="L15" i="9"/>
  <c r="L14" i="9"/>
  <c r="L13" i="9"/>
  <c r="L12" i="9"/>
  <c r="L11" i="9"/>
  <c r="L10" i="9"/>
  <c r="L9" i="9"/>
  <c r="L8" i="9"/>
  <c r="L7" i="9"/>
  <c r="L6" i="9"/>
  <c r="L5" i="9"/>
  <c r="L4" i="9"/>
  <c r="L3" i="9"/>
  <c r="G22" i="9"/>
  <c r="G21" i="9"/>
  <c r="G20" i="9"/>
  <c r="G19" i="9"/>
  <c r="G18" i="9"/>
  <c r="G17" i="9"/>
  <c r="G16" i="9"/>
  <c r="G15" i="9"/>
  <c r="G14" i="9"/>
  <c r="G13" i="9"/>
  <c r="G12" i="9"/>
  <c r="G11" i="9"/>
  <c r="G10" i="9"/>
  <c r="G9" i="9"/>
  <c r="G8" i="9"/>
  <c r="G7" i="9"/>
  <c r="G6" i="9"/>
  <c r="G5" i="9"/>
  <c r="G4" i="9"/>
  <c r="G3" i="9"/>
  <c r="D2" i="12" a="1"/>
  <c r="D2" i="12" s="1"/>
  <c r="D3" i="12" a="1"/>
  <c r="D3" i="12" s="1"/>
  <c r="D4" i="12" a="1"/>
  <c r="D4" i="12" s="1"/>
  <c r="D5" i="12" a="1"/>
  <c r="D5" i="12" s="1"/>
  <c r="D6" i="12" a="1"/>
  <c r="D6" i="12" s="1"/>
  <c r="D7" i="12" a="1"/>
  <c r="D7" i="12" s="1"/>
  <c r="D8" i="12" a="1"/>
  <c r="D8" i="12" s="1"/>
  <c r="D9" i="12" a="1"/>
  <c r="D9" i="12" s="1"/>
  <c r="D10" i="12" a="1"/>
  <c r="D10" i="12" s="1"/>
  <c r="D11" i="12" a="1"/>
  <c r="D11" i="12" s="1"/>
  <c r="D12" i="12" a="1"/>
  <c r="D12" i="12" s="1"/>
  <c r="D13" i="12" a="1"/>
  <c r="D13" i="12" s="1"/>
  <c r="D14" i="12" a="1"/>
  <c r="D14" i="12" s="1"/>
  <c r="D15" i="12" a="1"/>
  <c r="D15" i="12"/>
  <c r="D16" i="12" a="1"/>
  <c r="D16" i="12" s="1"/>
  <c r="D17" i="12" a="1"/>
  <c r="D17" i="12" s="1"/>
  <c r="D18" i="12" a="1"/>
  <c r="D18" i="12" s="1"/>
  <c r="D19" i="12" a="1"/>
  <c r="D19" i="12" s="1"/>
  <c r="D20" i="12" a="1"/>
  <c r="D20" i="12" s="1"/>
  <c r="D21" i="12" a="1"/>
  <c r="D2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344F24-1B09-435C-9FBC-16A06E43199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54C8B70-56E2-4C9F-AA02-AB10874F7BD9}" name="WorksheetConnection_Best place to live (1).xlsm!Temp" type="102" refreshedVersion="8" minRefreshableVersion="5">
    <extLst>
      <ext xmlns:x15="http://schemas.microsoft.com/office/spreadsheetml/2010/11/main" uri="{DE250136-89BD-433C-8126-D09CA5730AF9}">
        <x15:connection id="Temp" autoDelete="1">
          <x15:rangePr sourceName="_xlcn.WorksheetConnection_Bestplacetolive1.xlsmTemp1"/>
        </x15:connection>
      </ext>
    </extLst>
  </connection>
  <connection id="3" xr16:uid="{4103C15A-158C-4ABF-A382-8E112A11B018}" name="WorksheetConnection_Best place to live (1).xlsx!Cost_of_living" type="102" refreshedVersion="8" minRefreshableVersion="5">
    <extLst>
      <ext xmlns:x15="http://schemas.microsoft.com/office/spreadsheetml/2010/11/main" uri="{DE250136-89BD-433C-8126-D09CA5730AF9}">
        <x15:connection id="Cost_of_living">
          <x15:rangePr sourceName="_xlcn.WorksheetConnection_Bestplacetolive1.xlsxCost_of_living1"/>
        </x15:connection>
      </ext>
    </extLst>
  </connection>
  <connection id="4" xr16:uid="{E6592F1D-0092-4820-B0D7-21F2BCF483C4}" name="WorksheetConnection_Best place to live (1).xlsx!Healthcare" type="102" refreshedVersion="8" minRefreshableVersion="5">
    <extLst>
      <ext xmlns:x15="http://schemas.microsoft.com/office/spreadsheetml/2010/11/main" uri="{DE250136-89BD-433C-8126-D09CA5730AF9}">
        <x15:connection id="Healthcare">
          <x15:rangePr sourceName="_xlcn.WorksheetConnection_Bestplacetolive1.xlsxHealthcare1"/>
        </x15:connection>
      </ext>
    </extLst>
  </connection>
  <connection id="5" xr16:uid="{8061D418-8FFC-4FE1-861E-A4D742B4BFA8}" name="WorksheetConnection_Best place to live (1).xlsx!Safety_Rate" type="102" refreshedVersion="8" minRefreshableVersion="5">
    <extLst>
      <ext xmlns:x15="http://schemas.microsoft.com/office/spreadsheetml/2010/11/main" uri="{DE250136-89BD-433C-8126-D09CA5730AF9}">
        <x15:connection id="Safety_Rate">
          <x15:rangePr sourceName="_xlcn.WorksheetConnection_Bestplacetolive1.xlsxSafety_Rate1"/>
        </x15:connection>
      </ext>
    </extLst>
  </connection>
  <connection id="6" xr16:uid="{E49E2763-9BC6-4F50-A1CD-8D473AA83827}" name="WorksheetConnection_Best place to live (1).xlsx!Tax" type="102" refreshedVersion="8" minRefreshableVersion="5">
    <extLst>
      <ext xmlns:x15="http://schemas.microsoft.com/office/spreadsheetml/2010/11/main" uri="{DE250136-89BD-433C-8126-D09CA5730AF9}">
        <x15:connection id="Tax" autoDelete="1">
          <x15:rangePr sourceName="_xlcn.WorksheetConnection_Bestplacetolive1.xlsxTax1"/>
        </x15:connection>
      </ext>
    </extLst>
  </connection>
  <connection id="7" xr16:uid="{2AFB2D9D-39ED-4935-98B9-03B2BD47A541}" name="WorksheetConnection_Best place to live (1).xlsx!Temperature" type="102" refreshedVersion="8" minRefreshableVersion="5">
    <extLst>
      <ext xmlns:x15="http://schemas.microsoft.com/office/spreadsheetml/2010/11/main" uri="{DE250136-89BD-433C-8126-D09CA5730AF9}">
        <x15:connection id="Temperature">
          <x15:rangePr sourceName="_xlcn.WorksheetConnection_Bestplacetolive1.xlsxTemperature1"/>
        </x15:connection>
      </ext>
    </extLst>
  </connection>
  <connection id="8" xr16:uid="{EBF38A2F-8D38-47AC-A0CB-245DE1A1E8C6}" name="WorksheetConnection_Best place to live (1).xlsx!Transportation" type="102" refreshedVersion="8" minRefreshableVersion="5">
    <extLst>
      <ext xmlns:x15="http://schemas.microsoft.com/office/spreadsheetml/2010/11/main" uri="{DE250136-89BD-433C-8126-D09CA5730AF9}">
        <x15:connection id="Transportation">
          <x15:rangePr sourceName="_xlcn.WorksheetConnection_Bestplacetolive1.xlsxTransportat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<sst xmlns="http://schemas.openxmlformats.org/spreadsheetml/2006/main" count="271" uniqueCount="74">
  <si>
    <t>City</t>
  </si>
  <si>
    <t>Tallahassee, FL</t>
  </si>
  <si>
    <t>Hartford, CT</t>
  </si>
  <si>
    <t>Des Moines, IA</t>
  </si>
  <si>
    <t>Colorado Springs, CO</t>
  </si>
  <si>
    <t>New York City, NY</t>
  </si>
  <si>
    <t>Boulder, CO</t>
  </si>
  <si>
    <t>Trenton, NJ</t>
  </si>
  <si>
    <t>Durham-Chapel Hill, NC</t>
  </si>
  <si>
    <t>Baltimore, MD</t>
  </si>
  <si>
    <t>Lansing, MI</t>
  </si>
  <si>
    <t>Washington, DC</t>
  </si>
  <si>
    <t>Seattle, WA</t>
  </si>
  <si>
    <t>San Francisco, CA</t>
  </si>
  <si>
    <t>Raleigh, NC</t>
  </si>
  <si>
    <t>Charlotte, NC</t>
  </si>
  <si>
    <t>Huntsville, AL</t>
  </si>
  <si>
    <t>Atlanta, GA</t>
  </si>
  <si>
    <t>Dallas, TX</t>
  </si>
  <si>
    <t>San Jose, CA</t>
  </si>
  <si>
    <t>Austin, TX</t>
  </si>
  <si>
    <t>Tax Rates (avg. %)</t>
  </si>
  <si>
    <t>Transit Score</t>
  </si>
  <si>
    <t>Moderate</t>
  </si>
  <si>
    <t>High</t>
  </si>
  <si>
    <t>Monthly Housing (USD)</t>
  </si>
  <si>
    <t>Utilities (USD)</t>
  </si>
  <si>
    <t>Transportation (USD)</t>
  </si>
  <si>
    <t>Groceries (USD)</t>
  </si>
  <si>
    <t>Overall Monthly Cost (USD)</t>
  </si>
  <si>
    <t>Healthcare Access &amp; Availability</t>
  </si>
  <si>
    <t>Healthcare Quality (Rating)</t>
  </si>
  <si>
    <t>Column1</t>
  </si>
  <si>
    <t>Sunny Day</t>
  </si>
  <si>
    <t>Precipitation day</t>
  </si>
  <si>
    <t>Snow Day</t>
  </si>
  <si>
    <t>Cost of Living: LivingCost.org, AdvisorSmith</t>
  </si>
  <si>
    <t>Crime Rate: FBI Crime Reports, city-specific data</t>
  </si>
  <si>
    <t>Tax Rates: State and local tax websites, Tax Foundation</t>
  </si>
  <si>
    <t>Healthcare Quality: U.S. News Best Cities for Healthcare.</t>
  </si>
  <si>
    <t>Transportation: WalkScore and city transit agencies.</t>
  </si>
  <si>
    <t>Cost data from LivingCost.org</t>
  </si>
  <si>
    <t>Biblography</t>
  </si>
  <si>
    <t>https://www.currentresults.com/Weather/US/average-annual-precipitation-by-city.php</t>
  </si>
  <si>
    <t>Crime Rate (per 100,000)</t>
  </si>
  <si>
    <t>Safety Score (out of 100)</t>
  </si>
  <si>
    <r>
      <t>Safety Score</t>
    </r>
    <r>
      <rPr>
        <sz val="11"/>
        <color theme="1"/>
        <rFont val="Aptos"/>
        <family val="2"/>
      </rPr>
      <t>: Higher values represent safer cities with lower crime rates.</t>
    </r>
  </si>
  <si>
    <t>Tax Rate</t>
  </si>
  <si>
    <t>Cost of living</t>
  </si>
  <si>
    <t>Select</t>
  </si>
  <si>
    <t>Range</t>
  </si>
  <si>
    <t>More than</t>
  </si>
  <si>
    <t>Rating</t>
  </si>
  <si>
    <t>Low</t>
  </si>
  <si>
    <t>Healthcare Rating</t>
  </si>
  <si>
    <t>Safety Rate</t>
  </si>
  <si>
    <t>Annual Average Temperature</t>
  </si>
  <si>
    <t>Discover Your Perfect City : Customize and Explore!</t>
  </si>
  <si>
    <t>Less than</t>
  </si>
  <si>
    <t>Average (°F)</t>
  </si>
  <si>
    <t>Selet</t>
  </si>
  <si>
    <t>Row Labels</t>
  </si>
  <si>
    <t>Grand Total</t>
  </si>
  <si>
    <t>Min of Tax Rates (avg. %)</t>
  </si>
  <si>
    <t/>
  </si>
  <si>
    <t>Max of Average (°F)</t>
  </si>
  <si>
    <t>Monthly Cost (USD)</t>
  </si>
  <si>
    <t>Sum of Monthly Housing (USD)</t>
  </si>
  <si>
    <t>Click here for more information of your top cities!</t>
  </si>
  <si>
    <t>Best Cities for you</t>
  </si>
  <si>
    <t>The above table provides information on monthly living expenses, safety rating as opposed to crime rate and rating on healthcare facilities and resources for your top cities!</t>
  </si>
  <si>
    <t>The graph showcases transit-heavy cities! A higher score means top-notch public transportation infrastructure—see how your favorite cities rank!</t>
  </si>
  <si>
    <t xml:space="preserve">Discover the ultimate guide to your top cities!  </t>
  </si>
  <si>
    <t>Best cities for 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</si>
</sst>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6" formatCode="&quot;$&quot;#,##0_);[Red]\(&quot;$&quot;#,##0\)"/>
    <numFmt numFmtId="44" formatCode="_(&quot;$&quot;* #,##0.00_);_(&quot;$&quot;* \(#,##0.00\);_(&quot;$&quot;* &quot;-&quot;??_);_(@_)"/>
    <numFmt numFmtId="164" formatCode="0&quot;°F&quot;"/>
    <numFmt numFmtId="165" formatCode="&quot;$&quot;#,##0"/>
  </numFmts>
  <fonts count="25" x14ac:knownFonts="1">
    <font>
      <sz val="11"/>
      <color theme="1"/>
      <name val="Aptos Narrow"/>
      <family val="2"/>
      <scheme val="minor"/>
    </font>
    <font>
      <sz val="11"/>
      <color theme="1"/>
      <name val="Aptos"/>
      <family val="2"/>
    </font>
    <font>
      <b/>
      <sz val="11"/>
      <color theme="1"/>
      <name val="Aptos"/>
      <family val="2"/>
    </font>
    <font>
      <b/>
      <sz val="12"/>
      <color theme="1"/>
      <name val="Times New Roman"/>
      <family val="1"/>
    </font>
    <font>
      <sz val="12"/>
      <color theme="1"/>
      <name val="Times New Roman"/>
      <family val="1"/>
    </font>
    <font>
      <u/>
      <sz val="11"/>
      <color theme="10"/>
      <name val="Aptos Narrow"/>
      <family val="2"/>
      <scheme val="minor"/>
    </font>
    <font>
      <sz val="11"/>
      <color theme="1"/>
      <name val="Aptos Narrow"/>
      <family val="2"/>
      <scheme val="minor"/>
    </font>
    <font>
      <sz val="11"/>
      <color rgb="FF000000"/>
      <name val="Aptos Narrow"/>
      <family val="2"/>
      <scheme val="minor"/>
    </font>
    <font>
      <b/>
      <sz val="11"/>
      <color theme="0"/>
      <name val="Aptos"/>
      <family val="2"/>
    </font>
    <font>
      <b/>
      <sz val="11"/>
      <color theme="1"/>
      <name val="Aptos Narrow"/>
      <family val="2"/>
      <scheme val="minor"/>
    </font>
    <font>
      <b/>
      <sz val="14"/>
      <color theme="1"/>
      <name val="Aptos Narrow"/>
      <family val="2"/>
      <scheme val="minor"/>
    </font>
    <font>
      <b/>
      <sz val="22"/>
      <color theme="1"/>
      <name val="Aptos Narrow"/>
      <family val="2"/>
      <scheme val="minor"/>
    </font>
    <font>
      <sz val="11"/>
      <color rgb="FF000000"/>
      <name val="Aptos Narrow"/>
      <family val="2"/>
    </font>
    <font>
      <b/>
      <sz val="16"/>
      <color theme="1"/>
      <name val="Aptos Narrow"/>
      <family val="2"/>
      <scheme val="minor"/>
    </font>
    <font>
      <sz val="13"/>
      <color theme="1"/>
      <name val="Aptos Narrow"/>
      <family val="2"/>
      <scheme val="minor"/>
    </font>
    <font>
      <sz val="16"/>
      <color theme="1"/>
      <name val="Aptos Narrow"/>
      <family val="2"/>
      <scheme val="minor"/>
    </font>
    <font>
      <b/>
      <sz val="12"/>
      <color theme="1"/>
      <name val="Aptos"/>
      <family val="2"/>
    </font>
    <font>
      <b/>
      <sz val="14"/>
      <color theme="1"/>
      <name val="Aptos"/>
      <family val="2"/>
    </font>
    <font>
      <sz val="26"/>
      <color theme="1"/>
      <name val="ADLaM Display"/>
    </font>
    <font>
      <b/>
      <sz val="20"/>
      <color theme="1"/>
      <name val="Aptos Narrow"/>
      <family val="2"/>
      <scheme val="minor"/>
    </font>
    <font>
      <b/>
      <sz val="19"/>
      <color theme="1"/>
      <name val="ADLaM Display"/>
    </font>
    <font>
      <b/>
      <sz val="16"/>
      <color theme="1"/>
      <name val="ADLaM Display"/>
    </font>
    <font>
      <b/>
      <sz val="12"/>
      <color theme="1"/>
      <name val="Aptos Narrow"/>
      <family val="2"/>
      <scheme val="minor"/>
    </font>
    <font>
      <b/>
      <sz val="14"/>
      <color theme="1"/>
      <name val="ADLaM Display"/>
    </font>
    <font>
      <u/>
      <sz val="12"/>
      <color theme="9" tint="-0.499984740745262"/>
      <name val="Times New Roman"/>
      <family val="1"/>
    </font>
  </fonts>
  <fills count="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D2F4A4"/>
        <bgColor indexed="64"/>
      </patternFill>
    </fill>
    <fill>
      <patternFill patternType="solid">
        <fgColor theme="0"/>
        <bgColor indexed="64"/>
      </patternFill>
    </fill>
    <fill>
      <patternFill patternType="solid">
        <fgColor theme="9" tint="0.39997558519241921"/>
        <bgColor indexed="64"/>
      </patternFill>
    </fill>
  </fills>
  <borders count="26">
    <border>
      <left/>
      <right/>
      <top/>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3">
    <xf numFmtId="0" fontId="0" fillId="0" borderId="0"/>
    <xf numFmtId="0" fontId="5" fillId="0" borderId="0" applyNumberFormat="0" applyFill="0" applyBorder="0" applyAlignment="0" applyProtection="0"/>
    <xf numFmtId="44" fontId="6" fillId="0" borderId="0" applyFont="0" applyFill="0" applyBorder="0" applyAlignment="0" applyProtection="0"/>
  </cellStyleXfs>
  <cellXfs count="105">
    <xf numFmtId="0" fontId="0" fillId="0" borderId="0" xfId="0"/>
    <xf numFmtId="0" fontId="2" fillId="0" borderId="0" xfId="0" applyFont="1" applyAlignment="1">
      <alignment vertical="center" wrapText="1"/>
    </xf>
    <xf numFmtId="0" fontId="1" fillId="0" borderId="0" xfId="0" applyFont="1" applyAlignment="1">
      <alignment vertical="center" wrapText="1"/>
    </xf>
    <xf numFmtId="6" fontId="1" fillId="0" borderId="0" xfId="0" applyNumberFormat="1" applyFont="1" applyAlignment="1">
      <alignment vertical="center" wrapText="1"/>
    </xf>
    <xf numFmtId="0" fontId="0" fillId="0" borderId="0" xfId="0" applyAlignment="1">
      <alignment horizontal="center"/>
    </xf>
    <xf numFmtId="0" fontId="3" fillId="0" borderId="0" xfId="0" applyFont="1"/>
    <xf numFmtId="0" fontId="4" fillId="0" borderId="0" xfId="0" applyFont="1"/>
    <xf numFmtId="3" fontId="1" fillId="0" borderId="0" xfId="0" applyNumberFormat="1" applyFont="1" applyAlignment="1">
      <alignment vertical="center" wrapText="1"/>
    </xf>
    <xf numFmtId="0" fontId="2" fillId="0" borderId="0" xfId="0" applyFont="1" applyAlignment="1">
      <alignment horizontal="left" vertical="center" indent="1"/>
    </xf>
    <xf numFmtId="44" fontId="0" fillId="0" borderId="0" xfId="2" applyFont="1"/>
    <xf numFmtId="0" fontId="0" fillId="0" borderId="0" xfId="0" applyAlignment="1">
      <alignment horizontal="left"/>
    </xf>
    <xf numFmtId="0" fontId="7" fillId="0" borderId="0" xfId="0" applyFont="1"/>
    <xf numFmtId="164" fontId="0" fillId="0" borderId="0" xfId="0" applyNumberFormat="1"/>
    <xf numFmtId="0" fontId="1" fillId="3" borderId="1" xfId="0" applyFont="1" applyFill="1" applyBorder="1" applyAlignment="1">
      <alignment vertical="center" wrapText="1"/>
    </xf>
    <xf numFmtId="0" fontId="1" fillId="0" borderId="1" xfId="0" applyFont="1" applyBorder="1" applyAlignment="1">
      <alignment vertical="center" wrapText="1"/>
    </xf>
    <xf numFmtId="9" fontId="1" fillId="3" borderId="1" xfId="0" applyNumberFormat="1" applyFont="1" applyFill="1" applyBorder="1" applyAlignment="1">
      <alignment vertical="center" wrapText="1"/>
    </xf>
    <xf numFmtId="9" fontId="1" fillId="0" borderId="1" xfId="0" applyNumberFormat="1" applyFont="1" applyBorder="1" applyAlignment="1">
      <alignment vertical="center" wrapText="1"/>
    </xf>
    <xf numFmtId="0" fontId="8" fillId="2" borderId="0" xfId="0" applyFont="1" applyFill="1" applyAlignment="1">
      <alignment vertical="center" wrapText="1"/>
    </xf>
    <xf numFmtId="0" fontId="0" fillId="0" borderId="0" xfId="0" pivotButton="1"/>
    <xf numFmtId="1" fontId="1" fillId="0" borderId="0" xfId="0" applyNumberFormat="1" applyFont="1" applyAlignment="1">
      <alignment vertical="center" wrapText="1"/>
    </xf>
    <xf numFmtId="49" fontId="2" fillId="0" borderId="0" xfId="0" applyNumberFormat="1" applyFont="1" applyAlignment="1">
      <alignment vertical="center" wrapText="1"/>
    </xf>
    <xf numFmtId="49" fontId="0" fillId="0" borderId="0" xfId="0" applyNumberFormat="1"/>
    <xf numFmtId="9" fontId="0" fillId="0" borderId="0" xfId="0" applyNumberFormat="1"/>
    <xf numFmtId="0" fontId="1" fillId="3" borderId="0" xfId="0" applyFont="1" applyFill="1" applyAlignment="1">
      <alignment vertical="center" wrapText="1"/>
    </xf>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5" borderId="7" xfId="0" applyFill="1" applyBorder="1"/>
    <xf numFmtId="0" fontId="0" fillId="5" borderId="8" xfId="0" applyFill="1" applyBorder="1"/>
    <xf numFmtId="0" fontId="0" fillId="5" borderId="9" xfId="0" applyFill="1" applyBorder="1"/>
    <xf numFmtId="0" fontId="0" fillId="5" borderId="0" xfId="0" applyFill="1"/>
    <xf numFmtId="0" fontId="15" fillId="5" borderId="0" xfId="0" applyFont="1" applyFill="1"/>
    <xf numFmtId="0" fontId="11" fillId="5" borderId="0" xfId="0" applyFont="1" applyFill="1" applyAlignment="1">
      <alignment horizontal="center" vertical="center"/>
    </xf>
    <xf numFmtId="0" fontId="0" fillId="6" borderId="0" xfId="0" applyFill="1"/>
    <xf numFmtId="0" fontId="11" fillId="5" borderId="5" xfId="0" applyFont="1" applyFill="1" applyBorder="1" applyAlignment="1">
      <alignment horizontal="center" vertical="center"/>
    </xf>
    <xf numFmtId="0" fontId="13" fillId="5" borderId="0" xfId="0" applyFont="1" applyFill="1" applyAlignment="1">
      <alignment horizontal="center"/>
    </xf>
    <xf numFmtId="0" fontId="0" fillId="4" borderId="2" xfId="0" applyFill="1" applyBorder="1"/>
    <xf numFmtId="0" fontId="0" fillId="4" borderId="3" xfId="0" applyFill="1" applyBorder="1"/>
    <xf numFmtId="0" fontId="0" fillId="4" borderId="4" xfId="0" applyFill="1" applyBorder="1"/>
    <xf numFmtId="0" fontId="9" fillId="6" borderId="0" xfId="0" applyFont="1" applyFill="1"/>
    <xf numFmtId="0" fontId="19" fillId="6" borderId="0" xfId="0" applyFont="1" applyFill="1" applyAlignment="1">
      <alignment vertical="center" wrapText="1"/>
    </xf>
    <xf numFmtId="0" fontId="14" fillId="5" borderId="6" xfId="0" applyFont="1" applyFill="1" applyBorder="1"/>
    <xf numFmtId="0" fontId="15" fillId="5" borderId="10" xfId="0" applyFont="1" applyFill="1" applyBorder="1" applyAlignment="1">
      <alignment horizontal="center"/>
    </xf>
    <xf numFmtId="0" fontId="15" fillId="5" borderId="17" xfId="0" applyFont="1" applyFill="1" applyBorder="1" applyAlignment="1">
      <alignment horizontal="center"/>
    </xf>
    <xf numFmtId="0" fontId="15" fillId="5" borderId="18" xfId="0" applyFont="1" applyFill="1" applyBorder="1" applyAlignment="1">
      <alignment horizontal="center"/>
    </xf>
    <xf numFmtId="0" fontId="15" fillId="5" borderId="19" xfId="0" applyFont="1" applyFill="1" applyBorder="1" applyAlignment="1">
      <alignment horizontal="center"/>
    </xf>
    <xf numFmtId="0" fontId="15" fillId="5" borderId="20" xfId="0" applyFont="1" applyFill="1" applyBorder="1" applyAlignment="1">
      <alignment horizontal="center"/>
    </xf>
    <xf numFmtId="0" fontId="15" fillId="5" borderId="21" xfId="0" applyFont="1" applyFill="1" applyBorder="1" applyAlignment="1">
      <alignment horizontal="center"/>
    </xf>
    <xf numFmtId="0" fontId="13" fillId="5" borderId="8" xfId="0" applyFont="1" applyFill="1" applyBorder="1" applyAlignment="1">
      <alignment horizontal="center"/>
    </xf>
    <xf numFmtId="0" fontId="15" fillId="5" borderId="25" xfId="0" applyFont="1" applyFill="1" applyBorder="1" applyAlignment="1">
      <alignment horizontal="center"/>
    </xf>
    <xf numFmtId="0" fontId="22" fillId="5" borderId="0" xfId="2" applyNumberFormat="1" applyFont="1" applyFill="1" applyBorder="1" applyAlignment="1">
      <alignment horizontal="left"/>
    </xf>
    <xf numFmtId="0" fontId="10" fillId="5" borderId="0" xfId="0" applyFont="1" applyFill="1"/>
    <xf numFmtId="0" fontId="9" fillId="5" borderId="0" xfId="0" applyFont="1" applyFill="1"/>
    <xf numFmtId="0" fontId="21" fillId="5" borderId="0" xfId="0" applyFont="1" applyFill="1" applyAlignment="1">
      <alignment vertical="center"/>
    </xf>
    <xf numFmtId="0" fontId="0" fillId="7" borderId="2" xfId="0" applyFill="1" applyBorder="1"/>
    <xf numFmtId="0" fontId="0" fillId="7" borderId="3" xfId="0" applyFill="1" applyBorder="1"/>
    <xf numFmtId="0" fontId="0" fillId="7" borderId="4" xfId="0" applyFill="1" applyBorder="1"/>
    <xf numFmtId="0" fontId="0" fillId="7" borderId="5" xfId="0" applyFill="1" applyBorder="1"/>
    <xf numFmtId="0" fontId="0" fillId="7" borderId="0" xfId="0" applyFill="1"/>
    <xf numFmtId="0" fontId="0" fillId="7" borderId="6" xfId="0" applyFill="1" applyBorder="1"/>
    <xf numFmtId="0" fontId="19" fillId="5" borderId="6" xfId="0" applyFont="1" applyFill="1" applyBorder="1" applyAlignment="1">
      <alignment vertical="center" wrapText="1"/>
    </xf>
    <xf numFmtId="0" fontId="21" fillId="5" borderId="6" xfId="0" applyFont="1" applyFill="1" applyBorder="1" applyAlignment="1">
      <alignment vertical="center"/>
    </xf>
    <xf numFmtId="0" fontId="23" fillId="5" borderId="6" xfId="0" applyFont="1" applyFill="1" applyBorder="1" applyAlignment="1">
      <alignment horizontal="left" vertical="center" wrapText="1"/>
    </xf>
    <xf numFmtId="0" fontId="23" fillId="5" borderId="6" xfId="0" applyFont="1" applyFill="1" applyBorder="1" applyAlignment="1">
      <alignment vertical="center" wrapText="1"/>
    </xf>
    <xf numFmtId="9" fontId="22" fillId="5" borderId="0" xfId="0" applyNumberFormat="1" applyFont="1" applyFill="1" applyAlignment="1">
      <alignment horizontal="left"/>
    </xf>
    <xf numFmtId="0" fontId="22" fillId="5" borderId="0" xfId="0" applyFont="1" applyFill="1" applyAlignment="1">
      <alignment horizontal="left"/>
    </xf>
    <xf numFmtId="0" fontId="23" fillId="5" borderId="6" xfId="0" applyFont="1" applyFill="1" applyBorder="1"/>
    <xf numFmtId="0" fontId="10" fillId="5" borderId="6" xfId="0" applyFont="1" applyFill="1" applyBorder="1"/>
    <xf numFmtId="0" fontId="13" fillId="5" borderId="6" xfId="0" applyFont="1" applyFill="1" applyBorder="1" applyAlignment="1">
      <alignment vertical="center" wrapText="1"/>
    </xf>
    <xf numFmtId="0" fontId="19" fillId="5" borderId="0" xfId="0" applyFont="1" applyFill="1" applyAlignment="1">
      <alignment vertical="center" wrapText="1"/>
    </xf>
    <xf numFmtId="0" fontId="22" fillId="5" borderId="0" xfId="0" applyFont="1" applyFill="1"/>
    <xf numFmtId="165" fontId="22" fillId="5" borderId="0" xfId="0" applyNumberFormat="1" applyFont="1" applyFill="1"/>
    <xf numFmtId="164" fontId="22" fillId="5" borderId="0" xfId="0" applyNumberFormat="1" applyFont="1" applyFill="1"/>
    <xf numFmtId="0" fontId="3" fillId="0" borderId="0" xfId="0" applyFont="1" applyAlignment="1">
      <alignment horizontal="left" vertical="center"/>
    </xf>
    <xf numFmtId="0" fontId="24" fillId="0" borderId="0" xfId="1" applyFont="1" applyAlignment="1">
      <alignment horizontal="left" vertical="center"/>
    </xf>
    <xf numFmtId="0" fontId="20" fillId="7" borderId="0" xfId="0" applyFont="1" applyFill="1" applyAlignment="1">
      <alignment horizontal="center" vertical="center"/>
    </xf>
    <xf numFmtId="0" fontId="20" fillId="7" borderId="6" xfId="0" applyFont="1" applyFill="1" applyBorder="1" applyAlignment="1">
      <alignment horizontal="center" vertical="center"/>
    </xf>
    <xf numFmtId="0" fontId="11" fillId="6" borderId="0" xfId="0" applyFont="1" applyFill="1" applyAlignment="1">
      <alignment horizontal="center" vertical="center"/>
    </xf>
    <xf numFmtId="0" fontId="0" fillId="6" borderId="0" xfId="0" applyFill="1" applyAlignment="1">
      <alignment horizontal="center"/>
    </xf>
    <xf numFmtId="0" fontId="17" fillId="4" borderId="5" xfId="0" applyFont="1" applyFill="1" applyBorder="1" applyAlignment="1">
      <alignment horizontal="center" vertical="top" wrapText="1"/>
    </xf>
    <xf numFmtId="0" fontId="17" fillId="4" borderId="0" xfId="0" applyFont="1" applyFill="1" applyAlignment="1">
      <alignment horizontal="center" vertical="top" wrapText="1"/>
    </xf>
    <xf numFmtId="0" fontId="17" fillId="4" borderId="6" xfId="0" applyFont="1" applyFill="1" applyBorder="1" applyAlignment="1">
      <alignment horizontal="center" vertical="top" wrapText="1"/>
    </xf>
    <xf numFmtId="0" fontId="17" fillId="4" borderId="7" xfId="0" applyFont="1" applyFill="1" applyBorder="1" applyAlignment="1">
      <alignment horizontal="center" vertical="top" wrapText="1"/>
    </xf>
    <xf numFmtId="0" fontId="17" fillId="4" borderId="8" xfId="0" applyFont="1" applyFill="1" applyBorder="1" applyAlignment="1">
      <alignment horizontal="center" vertical="top" wrapText="1"/>
    </xf>
    <xf numFmtId="0" fontId="17" fillId="4" borderId="9" xfId="0" applyFont="1" applyFill="1" applyBorder="1" applyAlignment="1">
      <alignment horizontal="center" vertical="top" wrapText="1"/>
    </xf>
    <xf numFmtId="0" fontId="16" fillId="4" borderId="2" xfId="0" applyFont="1" applyFill="1" applyBorder="1" applyAlignment="1">
      <alignment horizontal="center" vertical="top" wrapText="1"/>
    </xf>
    <xf numFmtId="0" fontId="16" fillId="4" borderId="3" xfId="0" applyFont="1" applyFill="1" applyBorder="1" applyAlignment="1">
      <alignment horizontal="center" vertical="top" wrapText="1"/>
    </xf>
    <xf numFmtId="0" fontId="16" fillId="4" borderId="4" xfId="0" applyFont="1" applyFill="1" applyBorder="1" applyAlignment="1">
      <alignment horizontal="center" vertical="top" wrapText="1"/>
    </xf>
    <xf numFmtId="0" fontId="16" fillId="4" borderId="7" xfId="0" applyFont="1" applyFill="1" applyBorder="1" applyAlignment="1">
      <alignment horizontal="center" vertical="top" wrapText="1"/>
    </xf>
    <xf numFmtId="0" fontId="16" fillId="4" borderId="8" xfId="0" applyFont="1" applyFill="1" applyBorder="1" applyAlignment="1">
      <alignment horizontal="center" vertical="top" wrapText="1"/>
    </xf>
    <xf numFmtId="0" fontId="16" fillId="4" borderId="9" xfId="0" applyFont="1" applyFill="1" applyBorder="1" applyAlignment="1">
      <alignment horizontal="center" vertical="top" wrapText="1"/>
    </xf>
    <xf numFmtId="0" fontId="18" fillId="7" borderId="3" xfId="0" applyFont="1" applyFill="1" applyBorder="1" applyAlignment="1">
      <alignment horizontal="center" vertical="center" wrapText="1"/>
    </xf>
    <xf numFmtId="0" fontId="18" fillId="7" borderId="0" xfId="0" applyFont="1" applyFill="1" applyAlignment="1">
      <alignment horizontal="center" vertical="center" wrapText="1"/>
    </xf>
    <xf numFmtId="0" fontId="0" fillId="0" borderId="0" xfId="0" applyNumberFormat="1"/>
    <xf numFmtId="0" fontId="15" fillId="5" borderId="22" xfId="0" applyNumberFormat="1" applyFont="1" applyFill="1" applyBorder="1" applyAlignment="1">
      <alignment horizontal="center"/>
    </xf>
    <xf numFmtId="0" fontId="15" fillId="5" borderId="15" xfId="0" applyNumberFormat="1" applyFont="1" applyFill="1" applyBorder="1" applyAlignment="1">
      <alignment horizontal="center"/>
    </xf>
    <xf numFmtId="0" fontId="15" fillId="5" borderId="16" xfId="0" applyNumberFormat="1" applyFont="1" applyFill="1" applyBorder="1" applyAlignment="1">
      <alignment horizontal="center"/>
    </xf>
    <xf numFmtId="0" fontId="15" fillId="5" borderId="11" xfId="0" applyNumberFormat="1" applyFont="1" applyFill="1" applyBorder="1" applyAlignment="1">
      <alignment horizontal="center"/>
    </xf>
    <xf numFmtId="0" fontId="15" fillId="5" borderId="12" xfId="0" applyNumberFormat="1" applyFont="1" applyFill="1" applyBorder="1" applyAlignment="1">
      <alignment horizontal="center"/>
    </xf>
    <xf numFmtId="0" fontId="15" fillId="5" borderId="24" xfId="0" applyNumberFormat="1" applyFont="1" applyFill="1" applyBorder="1" applyAlignment="1">
      <alignment horizontal="center"/>
    </xf>
    <xf numFmtId="0" fontId="15" fillId="5" borderId="13" xfId="0" applyNumberFormat="1" applyFont="1" applyFill="1" applyBorder="1" applyAlignment="1">
      <alignment horizontal="center"/>
    </xf>
    <xf numFmtId="0" fontId="15" fillId="5" borderId="23" xfId="0" applyNumberFormat="1" applyFont="1" applyFill="1" applyBorder="1" applyAlignment="1">
      <alignment horizontal="center"/>
    </xf>
    <xf numFmtId="0" fontId="15" fillId="5" borderId="14" xfId="0" applyNumberFormat="1" applyFont="1" applyFill="1" applyBorder="1" applyAlignment="1">
      <alignment horizontal="center"/>
    </xf>
  </cellXfs>
  <cellStyles count="3">
    <cellStyle name="Currency" xfId="2" builtinId="4"/>
    <cellStyle name="Hyperlink" xfId="1" builtinId="8"/>
    <cellStyle name="Normal" xfId="0" builtinId="0"/>
  </cellStyles>
  <dxfs count="754">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font>
        <sz val="11"/>
      </font>
    </dxf>
    <dxf>
      <font>
        <sz val="11"/>
      </font>
    </dxf>
    <dxf>
      <font>
        <sz val="11"/>
      </font>
    </dxf>
    <dxf>
      <font>
        <sz val="11"/>
      </font>
    </dxf>
    <dxf>
      <font>
        <sz val="11"/>
      </font>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right/>
        <top/>
        <bottom/>
      </border>
    </dxf>
    <dxf>
      <border>
        <left/>
        <right/>
        <top/>
        <bottom/>
      </border>
    </dxf>
    <dxf>
      <border>
        <left/>
        <right/>
        <top/>
        <bottom/>
      </border>
    </dxf>
    <dxf>
      <border>
        <left/>
        <right/>
        <top/>
        <bottom/>
      </border>
    </dxf>
    <dxf>
      <border>
        <left/>
        <right/>
        <top/>
        <bottom/>
      </border>
    </dxf>
    <dxf>
      <font>
        <sz val="16"/>
      </font>
    </dxf>
    <dxf>
      <font>
        <sz val="16"/>
      </font>
    </dxf>
    <dxf>
      <font>
        <sz val="16"/>
      </font>
    </dxf>
    <dxf>
      <font>
        <sz val="16"/>
      </font>
    </dxf>
    <dxf>
      <font>
        <sz val="16"/>
      </font>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font>
        <sz val="11"/>
      </font>
    </dxf>
    <dxf>
      <font>
        <sz val="11"/>
      </font>
    </dxf>
    <dxf>
      <font>
        <sz val="11"/>
      </font>
    </dxf>
    <dxf>
      <font>
        <sz val="11"/>
      </font>
    </dxf>
    <dxf>
      <font>
        <sz val="11"/>
      </font>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right/>
        <top/>
        <bottom/>
      </border>
    </dxf>
    <dxf>
      <border>
        <left/>
        <right/>
        <top/>
        <bottom/>
      </border>
    </dxf>
    <dxf>
      <border>
        <left/>
        <right/>
        <top/>
        <bottom/>
      </border>
    </dxf>
    <dxf>
      <border>
        <left/>
        <right/>
        <top/>
        <bottom/>
      </border>
    </dxf>
    <dxf>
      <border>
        <left/>
        <right/>
        <top/>
        <bottom/>
      </border>
    </dxf>
    <dxf>
      <font>
        <sz val="16"/>
      </font>
    </dxf>
    <dxf>
      <font>
        <sz val="16"/>
      </font>
    </dxf>
    <dxf>
      <font>
        <sz val="16"/>
      </font>
    </dxf>
    <dxf>
      <font>
        <sz val="16"/>
      </font>
    </dxf>
    <dxf>
      <font>
        <sz val="16"/>
      </font>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font>
        <sz val="11"/>
      </font>
    </dxf>
    <dxf>
      <font>
        <sz val="11"/>
      </font>
    </dxf>
    <dxf>
      <font>
        <sz val="11"/>
      </font>
    </dxf>
    <dxf>
      <font>
        <sz val="11"/>
      </font>
    </dxf>
    <dxf>
      <font>
        <sz val="11"/>
      </font>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right/>
        <top/>
        <bottom/>
      </border>
    </dxf>
    <dxf>
      <border>
        <left/>
        <right/>
        <top/>
        <bottom/>
      </border>
    </dxf>
    <dxf>
      <border>
        <left/>
        <right/>
        <top/>
        <bottom/>
      </border>
    </dxf>
    <dxf>
      <border>
        <left/>
        <right/>
        <top/>
        <bottom/>
      </border>
    </dxf>
    <dxf>
      <border>
        <left/>
        <right/>
        <top/>
        <bottom/>
      </border>
    </dxf>
    <dxf>
      <font>
        <sz val="16"/>
      </font>
    </dxf>
    <dxf>
      <font>
        <sz val="16"/>
      </font>
    </dxf>
    <dxf>
      <font>
        <sz val="16"/>
      </font>
    </dxf>
    <dxf>
      <font>
        <sz val="16"/>
      </font>
    </dxf>
    <dxf>
      <font>
        <sz val="16"/>
      </font>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font>
        <sz val="11"/>
      </font>
    </dxf>
    <dxf>
      <font>
        <sz val="11"/>
      </font>
    </dxf>
    <dxf>
      <font>
        <sz val="11"/>
      </font>
    </dxf>
    <dxf>
      <font>
        <sz val="11"/>
      </font>
    </dxf>
    <dxf>
      <font>
        <sz val="11"/>
      </font>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right/>
        <top/>
        <bottom/>
      </border>
    </dxf>
    <dxf>
      <border>
        <left/>
        <right/>
        <top/>
        <bottom/>
      </border>
    </dxf>
    <dxf>
      <border>
        <left/>
        <right/>
        <top/>
        <bottom/>
      </border>
    </dxf>
    <dxf>
      <border>
        <left/>
        <right/>
        <top/>
        <bottom/>
      </border>
    </dxf>
    <dxf>
      <border>
        <left/>
        <right/>
        <top/>
        <bottom/>
      </border>
    </dxf>
    <dxf>
      <font>
        <sz val="16"/>
      </font>
    </dxf>
    <dxf>
      <font>
        <sz val="16"/>
      </font>
    </dxf>
    <dxf>
      <font>
        <sz val="16"/>
      </font>
    </dxf>
    <dxf>
      <font>
        <sz val="16"/>
      </font>
    </dxf>
    <dxf>
      <font>
        <sz val="16"/>
      </font>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font>
        <sz val="11"/>
      </font>
    </dxf>
    <dxf>
      <font>
        <sz val="11"/>
      </font>
    </dxf>
    <dxf>
      <font>
        <sz val="11"/>
      </font>
    </dxf>
    <dxf>
      <font>
        <sz val="11"/>
      </font>
    </dxf>
    <dxf>
      <font>
        <sz val="11"/>
      </font>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right/>
        <top/>
        <bottom/>
      </border>
    </dxf>
    <dxf>
      <border>
        <left/>
        <right/>
        <top/>
        <bottom/>
      </border>
    </dxf>
    <dxf>
      <border>
        <left/>
        <right/>
        <top/>
        <bottom/>
      </border>
    </dxf>
    <dxf>
      <border>
        <left/>
        <right/>
        <top/>
        <bottom/>
      </border>
    </dxf>
    <dxf>
      <border>
        <left/>
        <right/>
        <top/>
        <bottom/>
      </border>
    </dxf>
    <dxf>
      <font>
        <sz val="16"/>
      </font>
    </dxf>
    <dxf>
      <font>
        <sz val="16"/>
      </font>
    </dxf>
    <dxf>
      <font>
        <sz val="16"/>
      </font>
    </dxf>
    <dxf>
      <font>
        <sz val="16"/>
      </font>
    </dxf>
    <dxf>
      <font>
        <sz val="16"/>
      </font>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Aptos"/>
        <family val="2"/>
        <scheme val="none"/>
      </font>
      <fill>
        <patternFill patternType="solid">
          <fgColor theme="4" tint="0.79998168889431442"/>
          <bgColor theme="4" tint="0.79998168889431442"/>
        </patternFill>
      </fill>
      <alignment horizontal="general"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family val="2"/>
        <scheme val="none"/>
      </font>
      <fill>
        <patternFill patternType="solid">
          <fgColor theme="4" tint="0.79998168889431442"/>
          <bgColor theme="4" tint="0.79998168889431442"/>
        </patternFill>
      </fill>
      <alignment horizontal="general"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family val="2"/>
        <scheme val="none"/>
      </font>
      <fill>
        <patternFill patternType="solid">
          <fgColor theme="4" tint="0.79998168889431442"/>
          <bgColor theme="4" tint="0.79998168889431442"/>
        </patternFill>
      </fill>
      <alignment horizontal="general" vertical="center" textRotation="0" wrapText="1"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3"/>
        <color theme="1"/>
        <name val="Aptos"/>
        <family val="2"/>
        <scheme val="none"/>
      </font>
      <fill>
        <patternFill patternType="solid">
          <fgColor theme="4" tint="0.79998168889431442"/>
          <bgColor theme="4" tint="0.79998168889431442"/>
        </patternFill>
      </fill>
      <alignment horizontal="general" vertical="center" textRotation="0" wrapText="1" indent="0" justifyLastLine="0" shrinkToFit="0" readingOrder="0"/>
      <border diagonalUp="0" diagonalDown="0">
        <left/>
        <right/>
        <top style="thin">
          <color theme="4" tint="0.39997558519241921"/>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numFmt numFmtId="3" formatCode="#,##0"/>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numFmt numFmtId="10" formatCode="&quot;$&quot;#,##0_);[Red]\(&quot;$&quot;#,##0\)"/>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numFmt numFmtId="10" formatCode="&quot;$&quot;#,##0_);[Red]\(&quot;$&quot;#,##0\)"/>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numFmt numFmtId="10" formatCode="&quot;$&quot;#,##0_);[Red]\(&quot;$&quot;#,##0\)"/>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numFmt numFmtId="10" formatCode="&quot;$&quot;#,##0_);[Red]\(&quot;$&quot;#,##0\)"/>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numFmt numFmtId="10" formatCode="&quot;$&quot;#,##0_);[Red]\(&quot;$&quot;#,##0\)"/>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Aptos"/>
        <family val="2"/>
        <scheme val="none"/>
      </font>
      <numFmt numFmtId="13" formatCode="0%"/>
      <alignment horizontal="general"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Aptos"/>
        <family val="2"/>
        <scheme val="none"/>
      </font>
      <fill>
        <patternFill patternType="solid">
          <fgColor theme="4"/>
          <bgColor theme="4"/>
        </patternFill>
      </fill>
      <alignment horizontal="general" vertical="center" textRotation="0" wrapText="1" indent="0" justifyLastLine="0" shrinkToFit="0" readingOrder="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font>
        <sz val="16"/>
      </font>
    </dxf>
    <dxf>
      <font>
        <sz val="16"/>
      </font>
    </dxf>
    <dxf>
      <font>
        <sz val="16"/>
      </font>
    </dxf>
    <dxf>
      <font>
        <sz val="16"/>
      </font>
    </dxf>
    <dxf>
      <font>
        <sz val="16"/>
      </font>
    </dxf>
    <dxf>
      <border>
        <left/>
        <right/>
        <top/>
        <bottom/>
      </border>
    </dxf>
    <dxf>
      <border>
        <left/>
        <right/>
        <top/>
        <bottom/>
      </border>
    </dxf>
    <dxf>
      <border>
        <left/>
        <right/>
        <top/>
        <bottom/>
      </border>
    </dxf>
    <dxf>
      <border>
        <left/>
        <right/>
        <top/>
        <bottom/>
      </border>
    </dxf>
    <dxf>
      <border>
        <left/>
        <right/>
        <top/>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font>
        <sz val="11"/>
      </font>
    </dxf>
    <dxf>
      <font>
        <sz val="11"/>
      </font>
    </dxf>
    <dxf>
      <font>
        <sz val="11"/>
      </font>
    </dxf>
    <dxf>
      <font>
        <sz val="11"/>
      </font>
    </dxf>
    <dxf>
      <font>
        <sz val="11"/>
      </font>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D2F4A4"/>
        </patternFill>
      </fill>
    </dxf>
    <dxf>
      <fill>
        <patternFill>
          <bgColor rgb="FFD2F4A4"/>
        </patternFill>
      </fill>
    </dxf>
    <dxf>
      <fill>
        <patternFill>
          <bgColor rgb="FFD2F4A4"/>
        </patternFill>
      </fill>
    </dxf>
    <dxf>
      <fill>
        <patternFill>
          <bgColor rgb="FFD2F4A4"/>
        </patternFill>
      </fill>
    </dxf>
    <dxf>
      <fill>
        <patternFill>
          <bgColor rgb="FFD2F4A4"/>
        </patternFill>
      </fill>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1"/>
      </font>
      <fill>
        <patternFill>
          <bgColor theme="9" tint="0.79998168889431442"/>
        </patternFill>
      </fill>
    </dxf>
    <dxf>
      <font>
        <color theme="9" tint="0.79998168889431442"/>
      </font>
    </dxf>
    <dxf>
      <font>
        <color theme="9" tint="0.79998168889431442"/>
      </font>
    </dxf>
  </dxfs>
  <tableStyles count="4" defaultTableStyle="TableStyleMedium2" defaultPivotStyle="PivotStyleLight16">
    <tableStyle name="Slicer Style 1" pivot="0" table="0" count="1" xr9:uid="{0DE7750E-A773-4DDF-8EC3-A31061F4B0FA}">
      <tableStyleElement type="wholeTable" dxfId="753"/>
    </tableStyle>
    <tableStyle name="Slicer Style 2" pivot="0" table="0" count="3" xr9:uid="{184F4918-4410-49EF-A4E3-D2A99C6A77A9}">
      <tableStyleElement type="headerRow" dxfId="752"/>
    </tableStyle>
    <tableStyle name="Slicer Style 3" pivot="0" table="0" count="0" xr9:uid="{FF9FD56B-50CC-4A74-9332-F7AB80C83F45}"/>
    <tableStyle name="Slicer Style 4" pivot="0" table="0" count="3" xr9:uid="{D03CB11B-A005-4C8E-A69B-47CE2501E5E2}">
      <tableStyleElement type="headerRow" dxfId="751"/>
    </tableStyle>
  </tableStyles>
  <colors>
    <mruColors>
      <color rgb="FFD2F4A4"/>
    </mruColors>
  </colors>
  <extLst>
    <ext xmlns:x14="http://schemas.microsoft.com/office/spreadsheetml/2009/9/main" uri="{46F421CA-312F-682f-3DD2-61675219B42D}">
      <x14:dxfs count="4">
        <dxf>
          <fill>
            <patternFill>
              <bgColor theme="9" tint="-0.24994659260841701"/>
            </patternFill>
          </fill>
        </dxf>
        <dxf>
          <font>
            <color theme="1"/>
          </font>
          <fill>
            <patternFill>
              <bgColor theme="9" tint="0.59996337778862885"/>
            </patternFill>
          </fill>
        </dxf>
        <dxf>
          <font>
            <color theme="9" tint="-0.24994659260841701"/>
          </font>
        </dxf>
        <dxf>
          <font>
            <color theme="9" tint="0.59996337778862885"/>
          </font>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s>
        </x14:slicerStyle>
        <x14:slicerStyle name="Slicer Style 3"/>
        <x14:slicerStyle name="Slicer Style 4">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Table" Target="pivotTables/pivotTable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styles" Target="styles.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onnections" Target="connections.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powerPivotData" Target="model/item.data"/><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sheetMetadata" Target="metadata.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1.xml"/><Relationship Id="rId19" Type="http://schemas.openxmlformats.org/officeDocument/2006/relationships/theme" Target="theme/theme1.xml"/><Relationship Id="rId31" Type="http://schemas.openxmlformats.org/officeDocument/2006/relationships/customXml" Target="../customXml/item5.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sharedStrings" Target="sharedString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7.xml"/><Relationship Id="rId25" Type="http://schemas.microsoft.com/office/2017/10/relationships/person" Target="persons/person.xml"/><Relationship Id="rId33" Type="http://schemas.openxmlformats.org/officeDocument/2006/relationships/customXml" Target="../customXml/item7.xml"/><Relationship Id="rId38"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9.png"/></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[Best Place to live Dashboard.xlsm]Tax rates!PivotTable22</c:name>
    <c:fmtId val="3"/>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Tax </a:t>
            </a:r>
            <a:r>
              <a:rPr lang="en-US" sz="1800" b="1" baseline="0"/>
              <a:t>Rate</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'Tax rates'!$F$25</c:f>
              <c:strCache>
                <c:ptCount val="1"/>
                <c:pt idx="0">
                  <c:v>Total</c:v>
                </c:pt>
              </c:strCache>
            </c:strRef>
          </c:tx>
          <c:spPr>
            <a:solidFill>
              <a:schemeClr val="accent6">
                <a:lumMod val="50000"/>
              </a:schemeClr>
            </a:solidFill>
            <a:ln>
              <a:noFill/>
            </a:ln>
            <a:effectLst/>
          </c:spPr>
          <c:invertIfNegative val="0"/>
          <c:cat>
            <c:strRef>
              <c:f>'Tax rates'!$E$26:$E$30</c:f>
              <c:strCache>
                <c:ptCount val="4"/>
                <c:pt idx="0">
                  <c:v>San Francisco, CA</c:v>
                </c:pt>
                <c:pt idx="1">
                  <c:v>Seattle, WA</c:v>
                </c:pt>
                <c:pt idx="2">
                  <c:v>Tallahassee, FL</c:v>
                </c:pt>
                <c:pt idx="3">
                  <c:v>Washington, DC</c:v>
                </c:pt>
              </c:strCache>
            </c:strRef>
          </c:cat>
          <c:val>
            <c:numRef>
              <c:f>'Tax rates'!$F$26:$F$30</c:f>
              <c:numCache>
                <c:formatCode>0%</c:formatCode>
                <c:ptCount val="4"/>
                <c:pt idx="0">
                  <c:v>0.09</c:v>
                </c:pt>
                <c:pt idx="1">
                  <c:v>7.0000000000000007E-2</c:v>
                </c:pt>
                <c:pt idx="2">
                  <c:v>0.06</c:v>
                </c:pt>
                <c:pt idx="3">
                  <c:v>0.08</c:v>
                </c:pt>
              </c:numCache>
            </c:numRef>
          </c:val>
          <c:extLst>
            <c:ext xmlns:c16="http://schemas.microsoft.com/office/drawing/2014/chart" uri="{C3380CC4-5D6E-409C-BE32-E72D297353CC}">
              <c16:uniqueId val="{00000000-F704-4AC7-B4FF-8187A83D940B}"/>
            </c:ext>
          </c:extLst>
        </c:ser>
        <c:dLbls>
          <c:showLegendKey val="0"/>
          <c:showVal val="0"/>
          <c:showCatName val="0"/>
          <c:showSerName val="0"/>
          <c:showPercent val="0"/>
          <c:showBubbleSize val="0"/>
        </c:dLbls>
        <c:gapWidth val="219"/>
        <c:axId val="56297743"/>
        <c:axId val="56292943"/>
      </c:barChart>
      <c:catAx>
        <c:axId val="56297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292943"/>
        <c:crosses val="autoZero"/>
        <c:auto val="1"/>
        <c:lblAlgn val="ctr"/>
        <c:lblOffset val="100"/>
        <c:noMultiLvlLbl val="0"/>
      </c:catAx>
      <c:valAx>
        <c:axId val="56292943"/>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56297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Transite</a:t>
            </a:r>
            <a:r>
              <a:rPr lang="en-US" sz="1800" b="1" baseline="0"/>
              <a:t> Score for Transportation</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6">
                <a:lumMod val="50000"/>
              </a:schemeClr>
            </a:solidFill>
            <a:ln>
              <a:noFill/>
            </a:ln>
            <a:effectLst/>
          </c:spPr>
          <c:invertIfNegative val="0"/>
          <c:cat>
            <c:strLit>
              <c:ptCount val="4"/>
              <c:pt idx="0">
                <c:v>San Francisco, CA</c:v>
              </c:pt>
              <c:pt idx="1">
                <c:v>Seattle, WA</c:v>
              </c:pt>
              <c:pt idx="2">
                <c:v>Tallahassee, FL</c:v>
              </c:pt>
              <c:pt idx="3">
                <c:v>Washington, DC</c:v>
              </c:pt>
            </c:strLit>
          </c:cat>
          <c:val>
            <c:numLit>
              <c:formatCode>General</c:formatCode>
              <c:ptCount val="4"/>
              <c:pt idx="0">
                <c:v>80</c:v>
              </c:pt>
              <c:pt idx="1">
                <c:v>70</c:v>
              </c:pt>
              <c:pt idx="2">
                <c:v>30</c:v>
              </c:pt>
              <c:pt idx="3">
                <c:v>85</c:v>
              </c:pt>
            </c:numLit>
          </c:val>
          <c:extLst>
            <c:ext xmlns:c16="http://schemas.microsoft.com/office/drawing/2014/chart" uri="{C3380CC4-5D6E-409C-BE32-E72D297353CC}">
              <c16:uniqueId val="{00000000-E4B4-444F-B3CA-9214DAE6D378}"/>
            </c:ext>
          </c:extLst>
        </c:ser>
        <c:dLbls>
          <c:showLegendKey val="0"/>
          <c:showVal val="0"/>
          <c:showCatName val="0"/>
          <c:showSerName val="0"/>
          <c:showPercent val="0"/>
          <c:showBubbleSize val="0"/>
        </c:dLbls>
        <c:gapWidth val="219"/>
        <c:axId val="84133759"/>
        <c:axId val="84134239"/>
      </c:barChart>
      <c:catAx>
        <c:axId val="84133759"/>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4134239"/>
        <c:crosses val="autoZero"/>
        <c:auto val="1"/>
        <c:lblAlgn val="ctr"/>
        <c:lblOffset val="100"/>
        <c:noMultiLvlLbl val="0"/>
        <c:extLst>
          <c:ext xmlns:c15="http://schemas.microsoft.com/office/drawing/2012/chart" uri="{F40574EE-89B7-4290-83BB-5DA773EAF853}">
            <c15:numFmt c:formatCode="General" c:sourceLinked="1"/>
          </c:ext>
        </c:extLst>
      </c:catAx>
      <c:valAx>
        <c:axId val="84134239"/>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84133759"/>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[Best Place to live Dashboard.xlsm]PivotChartTable1</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[Best Place to live Dashboard.xlsm]Temperature!PivotTable2</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Average Annual Temperture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blipFill>
            <a:blip xmlns:r="http://schemas.openxmlformats.org/officeDocument/2006/relationships" r:embed="rId3"/>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3"/>
            <a:stretch>
              <a:fillRect/>
            </a:stretch>
          </a:blipFill>
          <a:ln>
            <a:noFill/>
          </a:ln>
          <a:effectLst/>
        </c:spPr>
      </c:pivotFmt>
      <c:pivotFmt>
        <c:idx val="5"/>
      </c:pivotFmt>
      <c:pivotFmt>
        <c:idx val="6"/>
        <c:spPr>
          <a:blipFill>
            <a:blip xmlns:r="http://schemas.openxmlformats.org/officeDocument/2006/relationships" r:embed="rId3"/>
            <a:stretch>
              <a:fillRect/>
            </a:stretch>
          </a:blipFill>
          <a:ln>
            <a:noFill/>
          </a:ln>
          <a:effectLst/>
        </c:spPr>
      </c:pivotFmt>
      <c:pivotFmt>
        <c:idx val="7"/>
        <c:spPr>
          <a:blipFill>
            <a:blip xmlns:r="http://schemas.openxmlformats.org/officeDocument/2006/relationships" r:embed="rId3"/>
            <a:stretch>
              <a:fillRect/>
            </a:stretch>
          </a:blipFill>
          <a:ln>
            <a:noFill/>
          </a:ln>
          <a:effectLst/>
        </c:spPr>
      </c:pivotFmt>
      <c:pivotFmt>
        <c:idx val="8"/>
        <c:spPr>
          <a:blipFill>
            <a:blip xmlns:r="http://schemas.openxmlformats.org/officeDocument/2006/relationships" r:embed="rId4"/>
            <a:stretch>
              <a:fillRect/>
            </a:stretch>
          </a:blipFill>
          <a:ln>
            <a:noFill/>
          </a:ln>
          <a:effectLst/>
        </c:spPr>
      </c:pivotFmt>
      <c:pivotFmt>
        <c:idx val="9"/>
        <c:spPr>
          <a:blipFill>
            <a:blip xmlns:r="http://schemas.openxmlformats.org/officeDocument/2006/relationships" r:embed="rId4"/>
            <a:stretch>
              <a:fillRect/>
            </a:stretch>
          </a:blipFill>
          <a:ln>
            <a:noFill/>
          </a:ln>
          <a:effectLst/>
        </c:spPr>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s>
    <c:plotArea>
      <c:layout/>
      <c:barChart>
        <c:barDir val="col"/>
        <c:grouping val="clustered"/>
        <c:varyColors val="0"/>
        <c:ser>
          <c:idx val="0"/>
          <c:order val="0"/>
          <c:tx>
            <c:strRef>
              <c:f>Temperature!$B$27</c:f>
              <c:strCache>
                <c:ptCount val="1"/>
                <c:pt idx="0">
                  <c:v>Total</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Temperature!$A$28:$A$32</c:f>
              <c:strCache>
                <c:ptCount val="4"/>
                <c:pt idx="0">
                  <c:v>San Francisco, CA</c:v>
                </c:pt>
                <c:pt idx="1">
                  <c:v>Seattle, WA</c:v>
                </c:pt>
                <c:pt idx="2">
                  <c:v>Tallahassee, FL</c:v>
                </c:pt>
                <c:pt idx="3">
                  <c:v>Washington, DC</c:v>
                </c:pt>
              </c:strCache>
            </c:strRef>
          </c:cat>
          <c:val>
            <c:numRef>
              <c:f>Temperature!$B$28:$B$32</c:f>
              <c:numCache>
                <c:formatCode>General</c:formatCode>
                <c:ptCount val="4"/>
                <c:pt idx="0">
                  <c:v>57.5</c:v>
                </c:pt>
                <c:pt idx="1">
                  <c:v>53.5</c:v>
                </c:pt>
                <c:pt idx="2">
                  <c:v>71.5</c:v>
                </c:pt>
                <c:pt idx="3">
                  <c:v>59.5</c:v>
                </c:pt>
              </c:numCache>
            </c:numRef>
          </c:val>
          <c:extLst>
            <c:ext xmlns:c16="http://schemas.microsoft.com/office/drawing/2014/chart" uri="{C3380CC4-5D6E-409C-BE32-E72D297353CC}">
              <c16:uniqueId val="{00000003-97CB-44AF-8BA2-EEC27045121A}"/>
            </c:ext>
          </c:extLst>
        </c:ser>
        <c:dLbls>
          <c:dLblPos val="outEnd"/>
          <c:showLegendKey val="0"/>
          <c:showVal val="1"/>
          <c:showCatName val="0"/>
          <c:showSerName val="0"/>
          <c:showPercent val="0"/>
          <c:showBubbleSize val="0"/>
        </c:dLbls>
        <c:gapWidth val="70"/>
        <c:axId val="1913905375"/>
        <c:axId val="1913896255"/>
      </c:barChart>
      <c:catAx>
        <c:axId val="1913905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1913896255"/>
        <c:crosses val="autoZero"/>
        <c:auto val="1"/>
        <c:lblAlgn val="ctr"/>
        <c:lblOffset val="100"/>
        <c:noMultiLvlLbl val="0"/>
      </c:catAx>
      <c:valAx>
        <c:axId val="191389625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913905375"/>
        <c:crosses val="autoZero"/>
        <c:crossBetween val="between"/>
      </c:valAx>
      <c:spPr>
        <a:solidFill>
          <a:schemeClr val="accent6">
            <a:lumMod val="40000"/>
            <a:lumOff val="6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'Tax rates'!$B$1</c:f>
              <c:strCache>
                <c:ptCount val="1"/>
                <c:pt idx="0">
                  <c:v>Tax Rates (avg. %)</c:v>
                </c:pt>
              </c:strCache>
            </c:strRef>
          </c:tx>
          <c:spPr>
            <a:solidFill>
              <a:schemeClr val="accent1"/>
            </a:solidFill>
            <a:ln>
              <a:noFill/>
            </a:ln>
            <a:effectLst/>
          </c:spPr>
          <c:invertIfNegative val="0"/>
          <c:cat>
            <c:strRef>
              <c:f>'Tax rates'!$A$2:$A$21</c:f>
              <c:strCache>
                <c:ptCount val="20"/>
                <c:pt idx="0">
                  <c:v>Atlanta, GA</c:v>
                </c:pt>
                <c:pt idx="1">
                  <c:v>Austin, TX</c:v>
                </c:pt>
                <c:pt idx="2">
                  <c:v>Baltimore, MD</c:v>
                </c:pt>
                <c:pt idx="3">
                  <c:v>Boulder, CO</c:v>
                </c:pt>
                <c:pt idx="4">
                  <c:v>Charlotte, NC</c:v>
                </c:pt>
                <c:pt idx="5">
                  <c:v>Colorado Springs, CO</c:v>
                </c:pt>
                <c:pt idx="6">
                  <c:v>Dallas, TX</c:v>
                </c:pt>
                <c:pt idx="7">
                  <c:v>Des Moines, IA</c:v>
                </c:pt>
                <c:pt idx="8">
                  <c:v>Durham-Chapel Hill, NC</c:v>
                </c:pt>
                <c:pt idx="9">
                  <c:v>Hartford, CT</c:v>
                </c:pt>
                <c:pt idx="10">
                  <c:v>Huntsville, AL</c:v>
                </c:pt>
                <c:pt idx="11">
                  <c:v>Lansing, MI</c:v>
                </c:pt>
                <c:pt idx="12">
                  <c:v>New York City, NY</c:v>
                </c:pt>
                <c:pt idx="13">
                  <c:v>Raleigh, NC</c:v>
                </c:pt>
                <c:pt idx="14">
                  <c:v>San Francisco, CA</c:v>
                </c:pt>
                <c:pt idx="15">
                  <c:v>San Jose, CA</c:v>
                </c:pt>
                <c:pt idx="16">
                  <c:v>Seattle, WA</c:v>
                </c:pt>
                <c:pt idx="17">
                  <c:v>Tallahassee, FL</c:v>
                </c:pt>
                <c:pt idx="18">
                  <c:v>Trenton, NJ</c:v>
                </c:pt>
                <c:pt idx="19">
                  <c:v>Washington, DC</c:v>
                </c:pt>
              </c:strCache>
            </c:strRef>
          </c:cat>
          <c:val>
            <c:numRef>
              <c:f>'Tax rates'!$B$2:$B$21</c:f>
              <c:numCache>
                <c:formatCode>0%</c:formatCode>
                <c:ptCount val="20"/>
                <c:pt idx="0">
                  <c:v>0.06</c:v>
                </c:pt>
                <c:pt idx="1">
                  <c:v>0.05</c:v>
                </c:pt>
                <c:pt idx="2">
                  <c:v>0.06</c:v>
                </c:pt>
                <c:pt idx="3">
                  <c:v>0.06</c:v>
                </c:pt>
                <c:pt idx="4">
                  <c:v>0.05</c:v>
                </c:pt>
                <c:pt idx="5">
                  <c:v>0.06</c:v>
                </c:pt>
                <c:pt idx="6">
                  <c:v>0.06</c:v>
                </c:pt>
                <c:pt idx="7">
                  <c:v>0.05</c:v>
                </c:pt>
                <c:pt idx="8">
                  <c:v>0.05</c:v>
                </c:pt>
                <c:pt idx="9">
                  <c:v>7.0000000000000007E-2</c:v>
                </c:pt>
                <c:pt idx="10">
                  <c:v>0.04</c:v>
                </c:pt>
                <c:pt idx="11">
                  <c:v>0.04</c:v>
                </c:pt>
                <c:pt idx="12">
                  <c:v>0.1</c:v>
                </c:pt>
                <c:pt idx="13">
                  <c:v>0.05</c:v>
                </c:pt>
                <c:pt idx="14">
                  <c:v>0.09</c:v>
                </c:pt>
                <c:pt idx="15">
                  <c:v>0.09</c:v>
                </c:pt>
                <c:pt idx="16">
                  <c:v>7.0000000000000007E-2</c:v>
                </c:pt>
                <c:pt idx="17">
                  <c:v>0.06</c:v>
                </c:pt>
                <c:pt idx="18">
                  <c:v>0.06</c:v>
                </c:pt>
                <c:pt idx="19">
                  <c:v>0.08</c:v>
                </c:pt>
              </c:numCache>
            </c:numRef>
          </c:val>
          <c:extLst>
            <c:ext xmlns:c16="http://schemas.microsoft.com/office/drawing/2014/chart" uri="{C3380CC4-5D6E-409C-BE32-E72D297353CC}">
              <c16:uniqueId val="{00000000-ADD5-4B4C-A954-40FE12A9C472}"/>
            </c:ext>
          </c:extLst>
        </c:ser>
        <c:dLbls>
          <c:showLegendKey val="0"/>
          <c:showVal val="0"/>
          <c:showCatName val="0"/>
          <c:showSerName val="0"/>
          <c:showPercent val="0"/>
          <c:showBubbleSize val="0"/>
        </c:dLbls>
        <c:gapWidth val="182"/>
        <c:axId val="2073109888"/>
        <c:axId val="56317903"/>
      </c:barChart>
      <c:catAx>
        <c:axId val="2073109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7903"/>
        <c:crosses val="autoZero"/>
        <c:auto val="1"/>
        <c:lblAlgn val="ctr"/>
        <c:lblOffset val="100"/>
        <c:noMultiLvlLbl val="0"/>
      </c:catAx>
      <c:valAx>
        <c:axId val="5631790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310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14</xdr:row>
      <xdr:rowOff>38100</xdr:rowOff>
    </xdr:from>
    <xdr:to>
      <xdr:col>4</xdr:col>
      <xdr:colOff>241300</xdr:colOff>
      <xdr:row>18</xdr:row>
      <xdr:rowOff>24114</xdr:rowOff>
    </xdr:to>
    <xdr:pic>
      <xdr:nvPicPr>
        <xdr:cNvPr id="3" name="Picture 2">
          <a:extLst>
            <a:ext uri="{FF2B5EF4-FFF2-40B4-BE49-F238E27FC236}">
              <a16:creationId xmlns:a16="http://schemas.microsoft.com/office/drawing/2014/main" id="{8625E874-3D10-041A-A7E3-1D0ACA3E4B6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19300" y="4229100"/>
          <a:ext cx="914400" cy="914400"/>
        </a:xfrm>
        <a:prstGeom prst="rect">
          <a:avLst/>
        </a:prstGeom>
      </xdr:spPr>
    </xdr:pic>
    <xdr:clientData/>
  </xdr:twoCellAnchor>
  <xdr:twoCellAnchor editAs="oneCell">
    <xdr:from>
      <xdr:col>8</xdr:col>
      <xdr:colOff>23000</xdr:colOff>
      <xdr:row>21</xdr:row>
      <xdr:rowOff>38100</xdr:rowOff>
    </xdr:from>
    <xdr:to>
      <xdr:col>9</xdr:col>
      <xdr:colOff>264299</xdr:colOff>
      <xdr:row>25</xdr:row>
      <xdr:rowOff>132626</xdr:rowOff>
    </xdr:to>
    <xdr:pic>
      <xdr:nvPicPr>
        <xdr:cNvPr id="5" name="Picture 4">
          <a:extLst>
            <a:ext uri="{FF2B5EF4-FFF2-40B4-BE49-F238E27FC236}">
              <a16:creationId xmlns:a16="http://schemas.microsoft.com/office/drawing/2014/main" id="{6CD7379A-27F6-ABA0-7051-CB73F899DFB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8239900" y="5562600"/>
          <a:ext cx="914400" cy="914400"/>
        </a:xfrm>
        <a:prstGeom prst="rect">
          <a:avLst/>
        </a:prstGeom>
      </xdr:spPr>
    </xdr:pic>
    <xdr:clientData/>
  </xdr:twoCellAnchor>
  <xdr:twoCellAnchor editAs="oneCell">
    <xdr:from>
      <xdr:col>8</xdr:col>
      <xdr:colOff>12700</xdr:colOff>
      <xdr:row>5</xdr:row>
      <xdr:rowOff>187555</xdr:rowOff>
    </xdr:from>
    <xdr:to>
      <xdr:col>9</xdr:col>
      <xdr:colOff>253999</xdr:colOff>
      <xdr:row>9</xdr:row>
      <xdr:rowOff>227937</xdr:rowOff>
    </xdr:to>
    <xdr:pic>
      <xdr:nvPicPr>
        <xdr:cNvPr id="11" name="Picture 10">
          <a:extLst>
            <a:ext uri="{FF2B5EF4-FFF2-40B4-BE49-F238E27FC236}">
              <a16:creationId xmlns:a16="http://schemas.microsoft.com/office/drawing/2014/main" id="{FDD564CF-3196-191A-49B5-FE49794D10C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28280" y="2810381"/>
          <a:ext cx="913111" cy="925444"/>
        </a:xfrm>
        <a:prstGeom prst="rect">
          <a:avLst/>
        </a:prstGeom>
      </xdr:spPr>
    </xdr:pic>
    <xdr:clientData/>
  </xdr:twoCellAnchor>
  <xdr:twoCellAnchor editAs="oneCell">
    <xdr:from>
      <xdr:col>2</xdr:col>
      <xdr:colOff>647700</xdr:colOff>
      <xdr:row>22</xdr:row>
      <xdr:rowOff>12700</xdr:rowOff>
    </xdr:from>
    <xdr:to>
      <xdr:col>4</xdr:col>
      <xdr:colOff>215900</xdr:colOff>
      <xdr:row>26</xdr:row>
      <xdr:rowOff>98786</xdr:rowOff>
    </xdr:to>
    <xdr:pic>
      <xdr:nvPicPr>
        <xdr:cNvPr id="13" name="Picture 12">
          <a:extLst>
            <a:ext uri="{FF2B5EF4-FFF2-40B4-BE49-F238E27FC236}">
              <a16:creationId xmlns:a16="http://schemas.microsoft.com/office/drawing/2014/main" id="{2C081915-B5AC-776F-4138-406A6D43021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93900" y="5727700"/>
          <a:ext cx="914400" cy="914400"/>
        </a:xfrm>
        <a:prstGeom prst="rect">
          <a:avLst/>
        </a:prstGeom>
      </xdr:spPr>
    </xdr:pic>
    <xdr:clientData/>
  </xdr:twoCellAnchor>
  <xdr:twoCellAnchor editAs="oneCell">
    <xdr:from>
      <xdr:col>8</xdr:col>
      <xdr:colOff>50800</xdr:colOff>
      <xdr:row>14</xdr:row>
      <xdr:rowOff>38100</xdr:rowOff>
    </xdr:from>
    <xdr:to>
      <xdr:col>9</xdr:col>
      <xdr:colOff>292099</xdr:colOff>
      <xdr:row>18</xdr:row>
      <xdr:rowOff>24114</xdr:rowOff>
    </xdr:to>
    <xdr:pic>
      <xdr:nvPicPr>
        <xdr:cNvPr id="15" name="Picture 14">
          <a:extLst>
            <a:ext uri="{FF2B5EF4-FFF2-40B4-BE49-F238E27FC236}">
              <a16:creationId xmlns:a16="http://schemas.microsoft.com/office/drawing/2014/main" id="{C4B3F8BE-0C86-A28A-AA43-4F7F1ECB70F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128000" y="4229100"/>
          <a:ext cx="914400" cy="914400"/>
        </a:xfrm>
        <a:prstGeom prst="rect">
          <a:avLst/>
        </a:prstGeom>
      </xdr:spPr>
    </xdr:pic>
    <xdr:clientData/>
  </xdr:twoCellAnchor>
  <xdr:twoCellAnchor editAs="oneCell">
    <xdr:from>
      <xdr:col>3</xdr:col>
      <xdr:colOff>12700</xdr:colOff>
      <xdr:row>6</xdr:row>
      <xdr:rowOff>12700</xdr:rowOff>
    </xdr:from>
    <xdr:to>
      <xdr:col>4</xdr:col>
      <xdr:colOff>254000</xdr:colOff>
      <xdr:row>10</xdr:row>
      <xdr:rowOff>17259</xdr:rowOff>
    </xdr:to>
    <xdr:pic>
      <xdr:nvPicPr>
        <xdr:cNvPr id="19" name="Picture 18">
          <a:extLst>
            <a:ext uri="{FF2B5EF4-FFF2-40B4-BE49-F238E27FC236}">
              <a16:creationId xmlns:a16="http://schemas.microsoft.com/office/drawing/2014/main" id="{9FCB0581-9D8D-20D7-5B49-195ECAE5D5B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032000" y="2679700"/>
          <a:ext cx="914400" cy="914400"/>
        </a:xfrm>
        <a:prstGeom prst="rect">
          <a:avLst/>
        </a:prstGeom>
      </xdr:spPr>
    </xdr:pic>
    <xdr:clientData/>
  </xdr:twoCellAnchor>
  <xdr:twoCellAnchor editAs="oneCell">
    <xdr:from>
      <xdr:col>14</xdr:col>
      <xdr:colOff>56548</xdr:colOff>
      <xdr:row>15</xdr:row>
      <xdr:rowOff>101357</xdr:rowOff>
    </xdr:from>
    <xdr:to>
      <xdr:col>14</xdr:col>
      <xdr:colOff>848483</xdr:colOff>
      <xdr:row>19</xdr:row>
      <xdr:rowOff>167910</xdr:rowOff>
    </xdr:to>
    <xdr:pic macro="[0]!More_details">
      <xdr:nvPicPr>
        <xdr:cNvPr id="4" name="Picture 3">
          <a:extLst>
            <a:ext uri="{FF2B5EF4-FFF2-40B4-BE49-F238E27FC236}">
              <a16:creationId xmlns:a16="http://schemas.microsoft.com/office/drawing/2014/main" id="{263B7CFB-D0A5-5A12-9A62-85D91BF3618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323052" y="3326595"/>
          <a:ext cx="791935" cy="7899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502443</xdr:colOff>
      <xdr:row>5</xdr:row>
      <xdr:rowOff>69056</xdr:rowOff>
    </xdr:from>
    <xdr:to>
      <xdr:col>5</xdr:col>
      <xdr:colOff>1839058</xdr:colOff>
      <xdr:row>21</xdr:row>
      <xdr:rowOff>80597</xdr:rowOff>
    </xdr:to>
    <xdr:graphicFrame macro="">
      <xdr:nvGraphicFramePr>
        <xdr:cNvPr id="2" name="Chart 6">
          <a:extLst>
            <a:ext uri="{FF2B5EF4-FFF2-40B4-BE49-F238E27FC236}">
              <a16:creationId xmlns:a16="http://schemas.microsoft.com/office/drawing/2014/main" id="{CCFCA25C-F6AA-D67C-10EB-23B2F17D92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476127</xdr:colOff>
      <xdr:row>5</xdr:row>
      <xdr:rowOff>50069</xdr:rowOff>
    </xdr:from>
    <xdr:to>
      <xdr:col>19</xdr:col>
      <xdr:colOff>87921</xdr:colOff>
      <xdr:row>21</xdr:row>
      <xdr:rowOff>29308</xdr:rowOff>
    </xdr:to>
    <xdr:graphicFrame macro="">
      <xdr:nvGraphicFramePr>
        <xdr:cNvPr id="5" name="Chart 4">
          <a:extLst>
            <a:ext uri="{FF2B5EF4-FFF2-40B4-BE49-F238E27FC236}">
              <a16:creationId xmlns:a16="http://schemas.microsoft.com/office/drawing/2014/main" id="{59B29C9F-598A-1EC9-052D-F081A18981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195627</xdr:colOff>
      <xdr:row>5</xdr:row>
      <xdr:rowOff>63746</xdr:rowOff>
    </xdr:from>
    <xdr:to>
      <xdr:col>9</xdr:col>
      <xdr:colOff>306736</xdr:colOff>
      <xdr:row>36</xdr:row>
      <xdr:rowOff>127539</xdr:rowOff>
    </xdr:to>
    <mc:AlternateContent xmlns:mc="http://schemas.openxmlformats.org/markup-compatibility/2006" xmlns:a14="http://schemas.microsoft.com/office/drawing/2010/main">
      <mc:Choice Requires="a14">
        <xdr:graphicFrame macro="">
          <xdr:nvGraphicFramePr>
            <xdr:cNvPr id="7" name="City">
              <a:extLst>
                <a:ext uri="{FF2B5EF4-FFF2-40B4-BE49-F238E27FC236}">
                  <a16:creationId xmlns:a16="http://schemas.microsoft.com/office/drawing/2014/main" id="{A9FE56FD-7761-3195-BF96-35BDFC683B7E}"/>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0371502" y="976558"/>
              <a:ext cx="1848950" cy="6032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487230</xdr:colOff>
      <xdr:row>24</xdr:row>
      <xdr:rowOff>227134</xdr:rowOff>
    </xdr:from>
    <xdr:to>
      <xdr:col>19</xdr:col>
      <xdr:colOff>124557</xdr:colOff>
      <xdr:row>42</xdr:row>
      <xdr:rowOff>29307</xdr:rowOff>
    </xdr:to>
    <xdr:graphicFrame macro="">
      <xdr:nvGraphicFramePr>
        <xdr:cNvPr id="4" name="Chart 2">
          <a:extLst>
            <a:ext uri="{FF2B5EF4-FFF2-40B4-BE49-F238E27FC236}">
              <a16:creationId xmlns:a16="http://schemas.microsoft.com/office/drawing/2014/main" id="{391DB767-B916-EE24-021A-3A97729D24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185739</xdr:colOff>
      <xdr:row>39</xdr:row>
      <xdr:rowOff>147638</xdr:rowOff>
    </xdr:from>
    <xdr:to>
      <xdr:col>2</xdr:col>
      <xdr:colOff>240933</xdr:colOff>
      <xdr:row>42</xdr:row>
      <xdr:rowOff>169453</xdr:rowOff>
    </xdr:to>
    <xdr:pic macro="[0]!Home">
      <xdr:nvPicPr>
        <xdr:cNvPr id="8" name="Picture 7">
          <a:extLst>
            <a:ext uri="{FF2B5EF4-FFF2-40B4-BE49-F238E27FC236}">
              <a16:creationId xmlns:a16="http://schemas.microsoft.com/office/drawing/2014/main" id="{6893E709-447D-7842-27C4-C5D74B728D8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85914" y="4857751"/>
          <a:ext cx="833437" cy="8334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369093</xdr:colOff>
      <xdr:row>4</xdr:row>
      <xdr:rowOff>69056</xdr:rowOff>
    </xdr:from>
    <xdr:to>
      <xdr:col>8</xdr:col>
      <xdr:colOff>221455</xdr:colOff>
      <xdr:row>17</xdr:row>
      <xdr:rowOff>97631</xdr:rowOff>
    </xdr:to>
    <xdr:graphicFrame macro="">
      <xdr:nvGraphicFramePr>
        <xdr:cNvPr id="3" name="Chart 2">
          <a:extLst>
            <a:ext uri="{FF2B5EF4-FFF2-40B4-BE49-F238E27FC236}">
              <a16:creationId xmlns:a16="http://schemas.microsoft.com/office/drawing/2014/main" id="{CD0E37D2-64C6-FCE1-FD36-0D7092F6FC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561975</xdr:colOff>
          <xdr:row>22</xdr:row>
          <xdr:rowOff>147638</xdr:rowOff>
        </xdr:from>
        <xdr:to>
          <xdr:col>4</xdr:col>
          <xdr:colOff>490538</xdr:colOff>
          <xdr:row>25</xdr:row>
          <xdr:rowOff>23813</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Aptos Narrow"/>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26</xdr:row>
          <xdr:rowOff>61913</xdr:rowOff>
        </xdr:from>
        <xdr:to>
          <xdr:col>4</xdr:col>
          <xdr:colOff>404813</xdr:colOff>
          <xdr:row>28</xdr:row>
          <xdr:rowOff>128588</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Aptos Narrow"/>
                </a:rPr>
                <a:t>Button 2</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hil Jadhav" refreshedDate="45634.53362199074" createdVersion="8" refreshedVersion="8" minRefreshableVersion="3" recordCount="20" xr:uid="{44AFA326-9AB2-4D06-B7DE-BED078A66821}">
  <cacheSource type="worksheet">
    <worksheetSource name="Tax"/>
  </cacheSource>
  <cacheFields count="2">
    <cacheField name="City" numFmtId="0">
      <sharedItems count="20">
        <s v="Lansing, MI"/>
        <s v="Huntsville, AL"/>
        <s v="Des Moines, IA"/>
        <s v="Durham-Chapel Hill, NC"/>
        <s v="Raleigh, NC"/>
        <s v="Charlotte, NC"/>
        <s v="Austin, TX"/>
        <s v="Tallahassee, FL"/>
        <s v="Colorado Springs, CO"/>
        <s v="Boulder, CO"/>
        <s v="Trenton, NJ"/>
        <s v="Baltimore, MD"/>
        <s v="Atlanta, GA"/>
        <s v="Dallas, TX"/>
        <s v="Hartford, CT"/>
        <s v="Seattle, WA"/>
        <s v="Washington, DC"/>
        <s v="San Francisco, CA"/>
        <s v="San Jose, CA"/>
        <s v="New York City, NY"/>
      </sharedItems>
    </cacheField>
    <cacheField name="Tax Rates (avg. %)" numFmtId="9">
      <sharedItems containsSemiMixedTypes="0" containsString="0" containsNumber="1" minValue="0.04" maxValue="0.1"/>
    </cacheField>
  </cacheFields>
  <extLst>
    <ext xmlns:x14="http://schemas.microsoft.com/office/spreadsheetml/2009/9/main" uri="{725AE2AE-9491-48be-B2B4-4EB974FC3084}">
      <x14:pivotCacheDefinition pivotCacheId="113839090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esha Musani" refreshedDate="45680.624116435189" backgroundQuery="1" createdVersion="8" refreshedVersion="8" minRefreshableVersion="3" recordCount="0" supportSubquery="1" supportAdvancedDrill="1" xr:uid="{706974D6-2F27-4089-A1F7-D4E99C0CDEE9}">
  <cacheSource type="external" connectionId="1"/>
  <cacheFields count="4">
    <cacheField name="[Cost_of_living].[City].[City]" caption="City" numFmtId="0" level="1">
      <sharedItems count="4">
        <s v="San Francisco, CA"/>
        <s v="Seattle, WA"/>
        <s v="Tallahassee, FL"/>
        <s v="Washington, DC"/>
      </sharedItems>
    </cacheField>
    <cacheField name="[Measures].[Max of Healthcare Quality (Rating)]" caption="Max of Healthcare Quality (Rating)" numFmtId="0" hierarchy="46" level="32767"/>
    <cacheField name="[Measures].[Min of Overall Monthly Cost (USD)]" caption="Min of Overall Monthly Cost (USD)" numFmtId="0" hierarchy="45" level="32767"/>
    <cacheField name="[Measures].[Max of Safety Score (out of 100)]" caption="Max of Safety Score (out of 100)" numFmtId="0" hierarchy="56" level="32767"/>
  </cacheFields>
  <cacheHierarchies count="58">
    <cacheHierarchy uniqueName="[Cost_of_living].[City]" caption="City" attribute="1" defaultMemberUniqueName="[Cost_of_living].[City].[All]" allUniqueName="[Cost_of_living].[City].[All]" dimensionUniqueName="[Cost_of_living]" displayFolder="" count="2" memberValueDatatype="130" unbalanced="0">
      <fieldsUsage count="2">
        <fieldUsage x="-1"/>
        <fieldUsage x="0"/>
      </fieldsUsage>
    </cacheHierarchy>
    <cacheHierarchy uniqueName="[Cost_of_living].[Monthly Housing (USD)]" caption="Monthly Housing (USD)" attribute="1" defaultMemberUniqueName="[Cost_of_living].[Monthly Housing (USD)].[All]" allUniqueName="[Cost_of_living].[Monthly Housing (USD)].[All]" dimensionUniqueName="[Cost_of_living]" displayFolder="" count="0" memberValueDatatype="20" unbalanced="0"/>
    <cacheHierarchy uniqueName="[Cost_of_living].[Utilities (USD)]" caption="Utilities (USD)" attribute="1" defaultMemberUniqueName="[Cost_of_living].[Utilities (USD)].[All]" allUniqueName="[Cost_of_living].[Utilities (USD)].[All]" dimensionUniqueName="[Cost_of_living]" displayFolder="" count="0" memberValueDatatype="20" unbalanced="0"/>
    <cacheHierarchy uniqueName="[Cost_of_living].[Transportation (USD)]" caption="Transportation (USD)" attribute="1" defaultMemberUniqueName="[Cost_of_living].[Transportation (USD)].[All]" allUniqueName="[Cost_of_living].[Transportation (USD)].[All]" dimensionUniqueName="[Cost_of_living]" displayFolder="" count="0" memberValueDatatype="20" unbalanced="0"/>
    <cacheHierarchy uniqueName="[Cost_of_living].[Groceries (USD)]" caption="Groceries (USD)" attribute="1" defaultMemberUniqueName="[Cost_of_living].[Groceries (USD)].[All]" allUniqueName="[Cost_of_living].[Groceries (USD)].[All]" dimensionUniqueName="[Cost_of_living]" displayFolder="" count="0" memberValueDatatype="20" unbalanced="0"/>
    <cacheHierarchy uniqueName="[Cost_of_living].[Overall Monthly Cost (USD)]" caption="Overall Monthly Cost (USD)" attribute="1" defaultMemberUniqueName="[Cost_of_living].[Overall Monthly Cost (USD)].[All]" allUniqueName="[Cost_of_living].[Overall Monthly Cost (USD)].[All]" dimensionUniqueName="[Cost_of_living]" displayFolder="" count="0" memberValueDatatype="20" unbalanced="0"/>
    <cacheHierarchy uniqueName="[Healthcare].[City]" caption="City" attribute="1" defaultMemberUniqueName="[Healthcare].[City].[All]" allUniqueName="[Healthcare].[City].[All]" dimensionUniqueName="[Healthcare]" displayFolder="" count="0" memberValueDatatype="130" unbalanced="0"/>
    <cacheHierarchy uniqueName="[Healthcare].[Healthcare Access &amp; Availability]" caption="Healthcare Access &amp; Availability" attribute="1" defaultMemberUniqueName="[Healthcare].[Healthcare Access &amp; Availability].[All]" allUniqueName="[Healthcare].[Healthcare Access &amp; Availability].[All]" dimensionUniqueName="[Healthcare]" displayFolder="" count="0" memberValueDatatype="130" unbalanced="0"/>
    <cacheHierarchy uniqueName="[Healthcare].[Healthcare Quality (Rating)]" caption="Healthcare Quality (Rating)" attribute="1" defaultMemberUniqueName="[Healthcare].[Healthcare Quality (Rating)].[All]" allUniqueName="[Healthcare].[Healthcare Quality (Rating)].[All]" dimensionUniqueName="[Healthcare]" displayFolder="" count="0" memberValueDatatype="20" unbalanced="0"/>
    <cacheHierarchy uniqueName="[Healthcare].[Column1]" caption="Column1" attribute="1" defaultMemberUniqueName="[Healthcare].[Column1].[All]" allUniqueName="[Healthcare].[Column1].[All]" dimensionUniqueName="[Healthcare]" displayFolder="" count="0" memberValueDatatype="130" unbalanced="0"/>
    <cacheHierarchy uniqueName="[Safety_Rate].[City]" caption="City" attribute="1" defaultMemberUniqueName="[Safety_Rate].[City].[All]" allUniqueName="[Safety_Rate].[City].[All]" dimensionUniqueName="[Safety_Rate]" displayFolder="" count="0" memberValueDatatype="130" unbalanced="0"/>
    <cacheHierarchy uniqueName="[Safety_Rate].[Crime Rate (per 100,000)]" caption="Crime Rate (per 100,000)" attribute="1" defaultMemberUniqueName="[Safety_Rate].[Crime Rate (per 100,000)].[All]" allUniqueName="[Safety_Rate].[Crime Rate (per 100,000)].[All]" dimensionUniqueName="[Safety_Rate]" displayFolder="" count="0" memberValueDatatype="20" unbalanced="0"/>
    <cacheHierarchy uniqueName="[Safety_Rate].[Safety Score (out of 100)]" caption="Safety Score (out of 100)" attribute="1" defaultMemberUniqueName="[Safety_Rate].[Safety Score (out of 100)].[All]" allUniqueName="[Safety_Rate].[Safety Score (out of 100)].[All]" dimensionUniqueName="[Safety_Rate]" displayFolder="" count="0" memberValueDatatype="5" unbalanced="0"/>
    <cacheHierarchy uniqueName="[Safety_Rate].[Rating]" caption="Rating" attribute="1" defaultMemberUniqueName="[Safety_Rate].[Rating].[All]" allUniqueName="[Safety_Rate].[Rating].[All]" dimensionUniqueName="[Safety_Rate]" displayFolder="" count="0" memberValueDatatype="130" unbalanced="0"/>
    <cacheHierarchy uniqueName="[Tax].[City]" caption="City" attribute="1" defaultMemberUniqueName="[Tax].[City].[All]" allUniqueName="[Tax].[City].[All]" dimensionUniqueName="[Tax]" displayFolder="" count="0" memberValueDatatype="130" unbalanced="0"/>
    <cacheHierarchy uniqueName="[Tax].[Tax Rates (avg. %)]" caption="Tax Rates (avg. %)" attribute="1" defaultMemberUniqueName="[Tax].[Tax Rates (avg. %)].[All]" allUniqueName="[Tax].[Tax Rates (avg. %)].[All]" dimensionUniqueName="[Tax]" displayFolder="" count="0" memberValueDatatype="5" unbalanced="0"/>
    <cacheHierarchy uniqueName="[Temp].[City]" caption="City" attribute="1" defaultMemberUniqueName="[Temp].[City].[All]" allUniqueName="[Temp].[City].[All]" dimensionUniqueName="[Temp]" displayFolder="" count="0" memberValueDatatype="130" unbalanced="0"/>
    <cacheHierarchy uniqueName="[Temp].[Average (°F)]" caption="Average (°F)" attribute="1" defaultMemberUniqueName="[Temp].[Average (°F)].[All]" allUniqueName="[Temp].[Average (°F)].[All]" dimensionUniqueName="[Temp]" displayFolder="" count="0" memberValueDatatype="5" unbalanced="0"/>
    <cacheHierarchy uniqueName="[Temperature].[City]" caption="City" attribute="1" defaultMemberUniqueName="[Temperature].[City].[All]" allUniqueName="[Temperature].[City].[All]" dimensionUniqueName="[Temperature]" displayFolder="" count="0" memberValueDatatype="130" unbalanced="0"/>
    <cacheHierarchy uniqueName="[Temperature].[Sunny Day]" caption="Sunny Day" attribute="1" defaultMemberUniqueName="[Temperature].[Sunny Day].[All]" allUniqueName="[Temperature].[Sunny Day].[All]" dimensionUniqueName="[Temperature]" displayFolder="" count="0" memberValueDatatype="20" unbalanced="0"/>
    <cacheHierarchy uniqueName="[Temperature].[Precipitation day]" caption="Precipitation day" attribute="1" defaultMemberUniqueName="[Temperature].[Precipitation day].[All]" allUniqueName="[Temperature].[Precipitation day].[All]" dimensionUniqueName="[Temperature]" displayFolder="" count="0" memberValueDatatype="20" unbalanced="0"/>
    <cacheHierarchy uniqueName="[Temperature].[Snow Day]" caption="Snow Day" attribute="1" defaultMemberUniqueName="[Temperature].[Snow Day].[All]" allUniqueName="[Temperature].[Snow Day].[All]" dimensionUniqueName="[Temperature]" displayFolder="" count="0" memberValueDatatype="5" unbalanced="0"/>
    <cacheHierarchy uniqueName="[Temperature].[High]" caption="High" attribute="1" defaultMemberUniqueName="[Temperature].[High].[All]" allUniqueName="[Temperature].[High].[All]" dimensionUniqueName="[Temperature]" displayFolder="" count="0" memberValueDatatype="20" unbalanced="0"/>
    <cacheHierarchy uniqueName="[Temperature].[Low]" caption="Low" attribute="1" defaultMemberUniqueName="[Temperature].[Low].[All]" allUniqueName="[Temperature].[Low].[All]" dimensionUniqueName="[Temperature]" displayFolder="" count="0" memberValueDatatype="20" unbalanced="0"/>
    <cacheHierarchy uniqueName="[Temperature].[Average (°F)]" caption="Average (°F)" attribute="1" defaultMemberUniqueName="[Temperature].[Average (°F)].[All]" allUniqueName="[Temperature].[Average (°F)].[All]" dimensionUniqueName="[Temperature]" displayFolder="" count="0" memberValueDatatype="5" unbalanced="0"/>
    <cacheHierarchy uniqueName="[Transportation].[City]" caption="City" attribute="1" defaultMemberUniqueName="[Transportation].[City].[All]" allUniqueName="[Transportation].[City].[All]" dimensionUniqueName="[Transportation]" displayFolder="" count="0" memberValueDatatype="130" unbalanced="0"/>
    <cacheHierarchy uniqueName="[Transportation].[Transit Score]" caption="Transit Score" attribute="1" defaultMemberUniqueName="[Transportation].[Transit Score].[All]" allUniqueName="[Transportation].[Transit Score].[All]" dimensionUniqueName="[Transportation]" displayFolder="" count="0" memberValueDatatype="20" unbalanced="0"/>
    <cacheHierarchy uniqueName="[Measures].[__XL_Count Tax]" caption="__XL_Count Tax" measure="1" displayFolder="" measureGroup="Tax" count="0" hidden="1"/>
    <cacheHierarchy uniqueName="[Measures].[__XL_Count Cost_of_living]" caption="__XL_Count Cost_of_living" measure="1" displayFolder="" measureGroup="Cost_of_living" count="0" hidden="1"/>
    <cacheHierarchy uniqueName="[Measures].[__XL_Count Healthcare]" caption="__XL_Count Healthcare" measure="1" displayFolder="" measureGroup="Healthcare" count="0" hidden="1"/>
    <cacheHierarchy uniqueName="[Measures].[__XL_Count Safety_Rate]" caption="__XL_Count Safety_Rate" measure="1" displayFolder="" measureGroup="Safety_Rate" count="0" hidden="1"/>
    <cacheHierarchy uniqueName="[Measures].[__XL_Count Temperature]" caption="__XL_Count Temperature" measure="1" displayFolder="" measureGroup="Temperature" count="0" hidden="1"/>
    <cacheHierarchy uniqueName="[Measures].[__XL_Count Transportation]" caption="__XL_Count Transportation" measure="1" displayFolder="" measureGroup="Transportation" count="0" hidden="1"/>
    <cacheHierarchy uniqueName="[Measures].[__XL_Count Temp]" caption="__XL_Count Temp" measure="1" displayFolder="" measureGroup="Temp" count="0" hidden="1"/>
    <cacheHierarchy uniqueName="[Measures].[__No measures defined]" caption="__No measures defined" measure="1" displayFolder="" count="0" hidden="1"/>
    <cacheHierarchy uniqueName="[Measures].[Sum of Overall Monthly Cost (USD)]" caption="Sum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Sum of Healthcare Quality (Rating)]" caption="Sum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Sum of Tax Rates (avg. %)]" caption="Sum of Tax Rates (avg. %)" measure="1" displayFolder="" measureGroup="Tax" count="0" hidden="1">
      <extLst>
        <ext xmlns:x15="http://schemas.microsoft.com/office/spreadsheetml/2010/11/main" uri="{B97F6D7D-B522-45F9-BDA1-12C45D357490}">
          <x15:cacheHierarchy aggregatedColumn="15"/>
        </ext>
      </extLst>
    </cacheHierarchy>
    <cacheHierarchy uniqueName="[Measures].[Sum of Crime Rate (per 100,000)]" caption="Sum of Crime Rate (per 100,000)" measure="1" displayFolder="" measureGroup="Safety_Rate" count="0" hidden="1">
      <extLst>
        <ext xmlns:x15="http://schemas.microsoft.com/office/spreadsheetml/2010/11/main" uri="{B97F6D7D-B522-45F9-BDA1-12C45D357490}">
          <x15:cacheHierarchy aggregatedColumn="11"/>
        </ext>
      </extLst>
    </cacheHierarchy>
    <cacheHierarchy uniqueName="[Measures].[Sum of Safety Score (out of 100)]" caption="Sum of Safety Score (out of 100)" measure="1" displayFolder="" measureGroup="Safety_Rate" count="0" hidden="1">
      <extLst>
        <ext xmlns:x15="http://schemas.microsoft.com/office/spreadsheetml/2010/11/main" uri="{B97F6D7D-B522-45F9-BDA1-12C45D357490}">
          <x15:cacheHierarchy aggregatedColumn="12"/>
        </ext>
      </extLst>
    </cacheHierarchy>
    <cacheHierarchy uniqueName="[Measures].[Sum of Average (°F)]" caption="Sum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Low]" caption="Sum of Low" measure="1" displayFolder="" measureGroup="Temperature" count="0" hidden="1">
      <extLst>
        <ext xmlns:x15="http://schemas.microsoft.com/office/spreadsheetml/2010/11/main" uri="{B97F6D7D-B522-45F9-BDA1-12C45D357490}">
          <x15:cacheHierarchy aggregatedColumn="23"/>
        </ext>
      </extLst>
    </cacheHierarchy>
    <cacheHierarchy uniqueName="[Measures].[Count of Overall Monthly Cost (USD)]" caption="Count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Average of Healthcare Quality (Rating)]" caption="Average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Max of Overall Monthly Cost (USD)]" caption="Max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Min of Overall Monthly Cost (USD)]" caption="Min of Overall Monthly Cost (USD)" measure="1" displayFolder="" measureGroup="Cost_of_living" count="0" oneField="1" hidden="1">
      <fieldsUsage count="1">
        <fieldUsage x="2"/>
      </fieldsUsage>
      <extLst>
        <ext xmlns:x15="http://schemas.microsoft.com/office/spreadsheetml/2010/11/main" uri="{B97F6D7D-B522-45F9-BDA1-12C45D357490}">
          <x15:cacheHierarchy aggregatedColumn="5"/>
        </ext>
      </extLst>
    </cacheHierarchy>
    <cacheHierarchy uniqueName="[Measures].[Max of Healthcare Quality (Rating)]" caption="Max of Healthcare Quality (Rating)" measure="1" displayFolder="" measureGroup="Healthcar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Transit Score]" caption="Count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Sum of Transit Score]" caption="Sum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Max of Transit Score]" caption="Max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Count of Rating]" caption="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Distinct Count of Rating]" caption="Distinct 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Min of Tax Rates (avg. %)]" caption="Min of Tax Rates (avg. %)" measure="1" displayFolder="" measureGroup="Tax" count="0" hidden="1">
      <extLst>
        <ext xmlns:x15="http://schemas.microsoft.com/office/spreadsheetml/2010/11/main" uri="{B97F6D7D-B522-45F9-BDA1-12C45D357490}">
          <x15:cacheHierarchy aggregatedColumn="15"/>
        </ext>
      </extLst>
    </cacheHierarchy>
    <cacheHierarchy uniqueName="[Measures].[Max of Average (°F)]" caption="Max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Average (°F) 2]" caption="Sum of Average (°F) 2" measure="1" displayFolder="" measureGroup="Temp" count="0" hidden="1">
      <extLst>
        <ext xmlns:x15="http://schemas.microsoft.com/office/spreadsheetml/2010/11/main" uri="{B97F6D7D-B522-45F9-BDA1-12C45D357490}">
          <x15:cacheHierarchy aggregatedColumn="17"/>
        </ext>
      </extLst>
    </cacheHierarchy>
    <cacheHierarchy uniqueName="[Measures].[Max of Average (°F) 2]" caption="Max of Average (°F) 2" measure="1" displayFolder="" measureGroup="Temp" count="0" hidden="1">
      <extLst>
        <ext xmlns:x15="http://schemas.microsoft.com/office/spreadsheetml/2010/11/main" uri="{B97F6D7D-B522-45F9-BDA1-12C45D357490}">
          <x15:cacheHierarchy aggregatedColumn="17"/>
        </ext>
      </extLst>
    </cacheHierarchy>
    <cacheHierarchy uniqueName="[Measures].[Max of Safety Score (out of 100)]" caption="Max of Safety Score (out of 100)" measure="1" displayFolder="" measureGroup="Safety_Rate"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Monthly Housing (USD)]" caption="Sum of Monthly Housing (USD)" measure="1" displayFolder="" measureGroup="Cost_of_living" count="0" hidden="1">
      <extLst>
        <ext xmlns:x15="http://schemas.microsoft.com/office/spreadsheetml/2010/11/main" uri="{B97F6D7D-B522-45F9-BDA1-12C45D357490}">
          <x15:cacheHierarchy aggregatedColumn="1"/>
        </ext>
      </extLst>
    </cacheHierarchy>
  </cacheHierarchies>
  <kpis count="0"/>
  <dimensions count="8">
    <dimension name="Cost_of_living" uniqueName="[Cost_of_living]" caption="Cost_of_living"/>
    <dimension name="Healthcare" uniqueName="[Healthcare]" caption="Healthcare"/>
    <dimension measure="1" name="Measures" uniqueName="[Measures]" caption="Measures"/>
    <dimension name="Safety_Rate" uniqueName="[Safety_Rate]" caption="Safety_Rate"/>
    <dimension name="Tax" uniqueName="[Tax]" caption="Tax"/>
    <dimension name="Temp" uniqueName="[Temp]" caption="Temp"/>
    <dimension name="Temperature" uniqueName="[Temperature]" caption="Temperature"/>
    <dimension name="Transportation" uniqueName="[Transportation]" caption="Transportation"/>
  </dimensions>
  <measureGroups count="7">
    <measureGroup name="Cost_of_living" caption="Cost_of_living"/>
    <measureGroup name="Healthcare" caption="Healthcare"/>
    <measureGroup name="Safety_Rate" caption="Safety_Rate"/>
    <measureGroup name="Tax" caption="Tax"/>
    <measureGroup name="Temp" caption="Temp"/>
    <measureGroup name="Temperature" caption="Temperature"/>
    <measureGroup name="Transportation" caption="Transportation"/>
  </measureGroups>
  <maps count="21">
    <map measureGroup="0" dimension="0"/>
    <map measureGroup="1" dimension="0"/>
    <map measureGroup="1" dimension="1"/>
    <map measureGroup="1" dimension="4"/>
    <map measureGroup="1" dimension="6"/>
    <map measureGroup="2" dimension="0"/>
    <map measureGroup="2" dimension="3"/>
    <map measureGroup="2" dimension="4"/>
    <map measureGroup="2" dimension="6"/>
    <map measureGroup="3" dimension="0"/>
    <map measureGroup="3" dimension="4"/>
    <map measureGroup="3" dimension="6"/>
    <map measureGroup="4" dimension="0"/>
    <map measureGroup="4" dimension="4"/>
    <map measureGroup="4" dimension="5"/>
    <map measureGroup="4" dimension="6"/>
    <map measureGroup="5" dimension="6"/>
    <map measureGroup="6" dimension="0"/>
    <map measureGroup="6" dimension="4"/>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esha Musani" refreshedDate="45680.624117245374" createdVersion="5" refreshedVersion="8" minRefreshableVersion="3" recordCount="0" supportSubquery="1" supportAdvancedDrill="1" xr:uid="{D39E49E4-0665-458D-BDD7-06066078E7C8}">
  <cacheSource type="external" connectionId="1"/>
  <cacheFields count="2">
    <cacheField name="[Cost_of_living].[City].[City]" caption="City" numFmtId="0" level="1">
      <sharedItems count="4">
        <s v="San Francisco, CA"/>
        <s v="Seattle, WA"/>
        <s v="Tallahassee, FL"/>
        <s v="Washington, DC"/>
      </sharedItems>
    </cacheField>
    <cacheField name="[Measures].[Min of Tax Rates (avg. %)]" caption="Min of Tax Rates (avg. %)" numFmtId="0" hierarchy="52" level="32767"/>
  </cacheFields>
  <cacheHierarchies count="58">
    <cacheHierarchy uniqueName="[Cost_of_living].[City]" caption="City" attribute="1" defaultMemberUniqueName="[Cost_of_living].[City].[All]" allUniqueName="[Cost_of_living].[City].[All]" dimensionUniqueName="[Cost_of_living]" displayFolder="" count="2" memberValueDatatype="130" unbalanced="0">
      <fieldsUsage count="2">
        <fieldUsage x="-1"/>
        <fieldUsage x="0"/>
      </fieldsUsage>
    </cacheHierarchy>
    <cacheHierarchy uniqueName="[Cost_of_living].[Monthly Housing (USD)]" caption="Monthly Housing (USD)" attribute="1" defaultMemberUniqueName="[Cost_of_living].[Monthly Housing (USD)].[All]" allUniqueName="[Cost_of_living].[Monthly Housing (USD)].[All]" dimensionUniqueName="[Cost_of_living]" displayFolder="" count="0" memberValueDatatype="20" unbalanced="0"/>
    <cacheHierarchy uniqueName="[Cost_of_living].[Utilities (USD)]" caption="Utilities (USD)" attribute="1" defaultMemberUniqueName="[Cost_of_living].[Utilities (USD)].[All]" allUniqueName="[Cost_of_living].[Utilities (USD)].[All]" dimensionUniqueName="[Cost_of_living]" displayFolder="" count="0" memberValueDatatype="20" unbalanced="0"/>
    <cacheHierarchy uniqueName="[Cost_of_living].[Transportation (USD)]" caption="Transportation (USD)" attribute="1" defaultMemberUniqueName="[Cost_of_living].[Transportation (USD)].[All]" allUniqueName="[Cost_of_living].[Transportation (USD)].[All]" dimensionUniqueName="[Cost_of_living]" displayFolder="" count="0" memberValueDatatype="20" unbalanced="0"/>
    <cacheHierarchy uniqueName="[Cost_of_living].[Groceries (USD)]" caption="Groceries (USD)" attribute="1" defaultMemberUniqueName="[Cost_of_living].[Groceries (USD)].[All]" allUniqueName="[Cost_of_living].[Groceries (USD)].[All]" dimensionUniqueName="[Cost_of_living]" displayFolder="" count="0" memberValueDatatype="20" unbalanced="0"/>
    <cacheHierarchy uniqueName="[Cost_of_living].[Overall Monthly Cost (USD)]" caption="Overall Monthly Cost (USD)" attribute="1" defaultMemberUniqueName="[Cost_of_living].[Overall Monthly Cost (USD)].[All]" allUniqueName="[Cost_of_living].[Overall Monthly Cost (USD)].[All]" dimensionUniqueName="[Cost_of_living]" displayFolder="" count="0" memberValueDatatype="20" unbalanced="0"/>
    <cacheHierarchy uniqueName="[Healthcare].[City]" caption="City" attribute="1" defaultMemberUniqueName="[Healthcare].[City].[All]" allUniqueName="[Healthcare].[City].[All]" dimensionUniqueName="[Healthcare]" displayFolder="" count="0" memberValueDatatype="130" unbalanced="0"/>
    <cacheHierarchy uniqueName="[Healthcare].[Healthcare Access &amp; Availability]" caption="Healthcare Access &amp; Availability" attribute="1" defaultMemberUniqueName="[Healthcare].[Healthcare Access &amp; Availability].[All]" allUniqueName="[Healthcare].[Healthcare Access &amp; Availability].[All]" dimensionUniqueName="[Healthcare]" displayFolder="" count="0" memberValueDatatype="130" unbalanced="0"/>
    <cacheHierarchy uniqueName="[Healthcare].[Healthcare Quality (Rating)]" caption="Healthcare Quality (Rating)" attribute="1" defaultMemberUniqueName="[Healthcare].[Healthcare Quality (Rating)].[All]" allUniqueName="[Healthcare].[Healthcare Quality (Rating)].[All]" dimensionUniqueName="[Healthcare]" displayFolder="" count="0" memberValueDatatype="20" unbalanced="0"/>
    <cacheHierarchy uniqueName="[Healthcare].[Column1]" caption="Column1" attribute="1" defaultMemberUniqueName="[Healthcare].[Column1].[All]" allUniqueName="[Healthcare].[Column1].[All]" dimensionUniqueName="[Healthcare]" displayFolder="" count="0" memberValueDatatype="130" unbalanced="0"/>
    <cacheHierarchy uniqueName="[Safety_Rate].[City]" caption="City" attribute="1" defaultMemberUniqueName="[Safety_Rate].[City].[All]" allUniqueName="[Safety_Rate].[City].[All]" dimensionUniqueName="[Safety_Rate]" displayFolder="" count="0" memberValueDatatype="130" unbalanced="0"/>
    <cacheHierarchy uniqueName="[Safety_Rate].[Crime Rate (per 100,000)]" caption="Crime Rate (per 100,000)" attribute="1" defaultMemberUniqueName="[Safety_Rate].[Crime Rate (per 100,000)].[All]" allUniqueName="[Safety_Rate].[Crime Rate (per 100,000)].[All]" dimensionUniqueName="[Safety_Rate]" displayFolder="" count="0" memberValueDatatype="20" unbalanced="0"/>
    <cacheHierarchy uniqueName="[Safety_Rate].[Safety Score (out of 100)]" caption="Safety Score (out of 100)" attribute="1" defaultMemberUniqueName="[Safety_Rate].[Safety Score (out of 100)].[All]" allUniqueName="[Safety_Rate].[Safety Score (out of 100)].[All]" dimensionUniqueName="[Safety_Rate]" displayFolder="" count="0" memberValueDatatype="5" unbalanced="0"/>
    <cacheHierarchy uniqueName="[Safety_Rate].[Rating]" caption="Rating" attribute="1" defaultMemberUniqueName="[Safety_Rate].[Rating].[All]" allUniqueName="[Safety_Rate].[Rating].[All]" dimensionUniqueName="[Safety_Rate]" displayFolder="" count="0" memberValueDatatype="130" unbalanced="0"/>
    <cacheHierarchy uniqueName="[Tax].[City]" caption="City" attribute="1" defaultMemberUniqueName="[Tax].[City].[All]" allUniqueName="[Tax].[City].[All]" dimensionUniqueName="[Tax]" displayFolder="" count="0" memberValueDatatype="130" unbalanced="0"/>
    <cacheHierarchy uniqueName="[Tax].[Tax Rates (avg. %)]" caption="Tax Rates (avg. %)" attribute="1" defaultMemberUniqueName="[Tax].[Tax Rates (avg. %)].[All]" allUniqueName="[Tax].[Tax Rates (avg. %)].[All]" dimensionUniqueName="[Tax]" displayFolder="" count="0" memberValueDatatype="5" unbalanced="0"/>
    <cacheHierarchy uniqueName="[Temp].[City]" caption="City" attribute="1" defaultMemberUniqueName="[Temp].[City].[All]" allUniqueName="[Temp].[City].[All]" dimensionUniqueName="[Temp]" displayFolder="" count="0" memberValueDatatype="130" unbalanced="0"/>
    <cacheHierarchy uniqueName="[Temp].[Average (°F)]" caption="Average (°F)" attribute="1" defaultMemberUniqueName="[Temp].[Average (°F)].[All]" allUniqueName="[Temp].[Average (°F)].[All]" dimensionUniqueName="[Temp]" displayFolder="" count="0" memberValueDatatype="5" unbalanced="0"/>
    <cacheHierarchy uniqueName="[Temperature].[City]" caption="City" attribute="1" defaultMemberUniqueName="[Temperature].[City].[All]" allUniqueName="[Temperature].[City].[All]" dimensionUniqueName="[Temperature]" displayFolder="" count="0" memberValueDatatype="130" unbalanced="0"/>
    <cacheHierarchy uniqueName="[Temperature].[Sunny Day]" caption="Sunny Day" attribute="1" defaultMemberUniqueName="[Temperature].[Sunny Day].[All]" allUniqueName="[Temperature].[Sunny Day].[All]" dimensionUniqueName="[Temperature]" displayFolder="" count="0" memberValueDatatype="20" unbalanced="0"/>
    <cacheHierarchy uniqueName="[Temperature].[Precipitation day]" caption="Precipitation day" attribute="1" defaultMemberUniqueName="[Temperature].[Precipitation day].[All]" allUniqueName="[Temperature].[Precipitation day].[All]" dimensionUniqueName="[Temperature]" displayFolder="" count="0" memberValueDatatype="20" unbalanced="0"/>
    <cacheHierarchy uniqueName="[Temperature].[Snow Day]" caption="Snow Day" attribute="1" defaultMemberUniqueName="[Temperature].[Snow Day].[All]" allUniqueName="[Temperature].[Snow Day].[All]" dimensionUniqueName="[Temperature]" displayFolder="" count="0" memberValueDatatype="5" unbalanced="0"/>
    <cacheHierarchy uniqueName="[Temperature].[High]" caption="High" attribute="1" defaultMemberUniqueName="[Temperature].[High].[All]" allUniqueName="[Temperature].[High].[All]" dimensionUniqueName="[Temperature]" displayFolder="" count="0" memberValueDatatype="20" unbalanced="0"/>
    <cacheHierarchy uniqueName="[Temperature].[Low]" caption="Low" attribute="1" defaultMemberUniqueName="[Temperature].[Low].[All]" allUniqueName="[Temperature].[Low].[All]" dimensionUniqueName="[Temperature]" displayFolder="" count="0" memberValueDatatype="20" unbalanced="0"/>
    <cacheHierarchy uniqueName="[Temperature].[Average (°F)]" caption="Average (°F)" attribute="1" defaultMemberUniqueName="[Temperature].[Average (°F)].[All]" allUniqueName="[Temperature].[Average (°F)].[All]" dimensionUniqueName="[Temperature]" displayFolder="" count="0" memberValueDatatype="5" unbalanced="0"/>
    <cacheHierarchy uniqueName="[Transportation].[City]" caption="City" attribute="1" defaultMemberUniqueName="[Transportation].[City].[All]" allUniqueName="[Transportation].[City].[All]" dimensionUniqueName="[Transportation]" displayFolder="" count="0" memberValueDatatype="130" unbalanced="0"/>
    <cacheHierarchy uniqueName="[Transportation].[Transit Score]" caption="Transit Score" attribute="1" defaultMemberUniqueName="[Transportation].[Transit Score].[All]" allUniqueName="[Transportation].[Transit Score].[All]" dimensionUniqueName="[Transportation]" displayFolder="" count="0" memberValueDatatype="20" unbalanced="0"/>
    <cacheHierarchy uniqueName="[Measures].[__XL_Count Tax]" caption="__XL_Count Tax" measure="1" displayFolder="" measureGroup="Tax" count="0" hidden="1"/>
    <cacheHierarchy uniqueName="[Measures].[__XL_Count Cost_of_living]" caption="__XL_Count Cost_of_living" measure="1" displayFolder="" measureGroup="Cost_of_living" count="0" hidden="1"/>
    <cacheHierarchy uniqueName="[Measures].[__XL_Count Healthcare]" caption="__XL_Count Healthcare" measure="1" displayFolder="" measureGroup="Healthcare" count="0" hidden="1"/>
    <cacheHierarchy uniqueName="[Measures].[__XL_Count Safety_Rate]" caption="__XL_Count Safety_Rate" measure="1" displayFolder="" measureGroup="Safety_Rate" count="0" hidden="1"/>
    <cacheHierarchy uniqueName="[Measures].[__XL_Count Temperature]" caption="__XL_Count Temperature" measure="1" displayFolder="" measureGroup="Temperature" count="0" hidden="1"/>
    <cacheHierarchy uniqueName="[Measures].[__XL_Count Transportation]" caption="__XL_Count Transportation" measure="1" displayFolder="" measureGroup="Transportation" count="0" hidden="1"/>
    <cacheHierarchy uniqueName="[Measures].[__XL_Count Temp]" caption="__XL_Count Temp" measure="1" displayFolder="" measureGroup="Temp" count="0" hidden="1"/>
    <cacheHierarchy uniqueName="[Measures].[__No measures defined]" caption="__No measures defined" measure="1" displayFolder="" count="0" hidden="1"/>
    <cacheHierarchy uniqueName="[Measures].[Sum of Overall Monthly Cost (USD)]" caption="Sum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Sum of Healthcare Quality (Rating)]" caption="Sum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Sum of Tax Rates (avg. %)]" caption="Sum of Tax Rates (avg. %)" measure="1" displayFolder="" measureGroup="Tax" count="0" hidden="1">
      <extLst>
        <ext xmlns:x15="http://schemas.microsoft.com/office/spreadsheetml/2010/11/main" uri="{B97F6D7D-B522-45F9-BDA1-12C45D357490}">
          <x15:cacheHierarchy aggregatedColumn="15"/>
        </ext>
      </extLst>
    </cacheHierarchy>
    <cacheHierarchy uniqueName="[Measures].[Sum of Crime Rate (per 100,000)]" caption="Sum of Crime Rate (per 100,000)" measure="1" displayFolder="" measureGroup="Safety_Rate" count="0" hidden="1">
      <extLst>
        <ext xmlns:x15="http://schemas.microsoft.com/office/spreadsheetml/2010/11/main" uri="{B97F6D7D-B522-45F9-BDA1-12C45D357490}">
          <x15:cacheHierarchy aggregatedColumn="11"/>
        </ext>
      </extLst>
    </cacheHierarchy>
    <cacheHierarchy uniqueName="[Measures].[Sum of Safety Score (out of 100)]" caption="Sum of Safety Score (out of 100)" measure="1" displayFolder="" measureGroup="Safety_Rate" count="0" hidden="1">
      <extLst>
        <ext xmlns:x15="http://schemas.microsoft.com/office/spreadsheetml/2010/11/main" uri="{B97F6D7D-B522-45F9-BDA1-12C45D357490}">
          <x15:cacheHierarchy aggregatedColumn="12"/>
        </ext>
      </extLst>
    </cacheHierarchy>
    <cacheHierarchy uniqueName="[Measures].[Sum of Average (°F)]" caption="Sum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Low]" caption="Sum of Low" measure="1" displayFolder="" measureGroup="Temperature" count="0" hidden="1">
      <extLst>
        <ext xmlns:x15="http://schemas.microsoft.com/office/spreadsheetml/2010/11/main" uri="{B97F6D7D-B522-45F9-BDA1-12C45D357490}">
          <x15:cacheHierarchy aggregatedColumn="23"/>
        </ext>
      </extLst>
    </cacheHierarchy>
    <cacheHierarchy uniqueName="[Measures].[Count of Overall Monthly Cost (USD)]" caption="Count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Average of Healthcare Quality (Rating)]" caption="Average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Max of Overall Monthly Cost (USD)]" caption="Max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Min of Overall Monthly Cost (USD)]" caption="Min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Max of Healthcare Quality (Rating)]" caption="Max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Count of Transit Score]" caption="Count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Sum of Transit Score]" caption="Sum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Max of Transit Score]" caption="Max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Count of Rating]" caption="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Distinct Count of Rating]" caption="Distinct 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Min of Tax Rates (avg. %)]" caption="Min of Tax Rates (avg. %)" measure="1" displayFolder="" measureGroup="Tax" count="0" oneField="1" hidden="1">
      <fieldsUsage count="1">
        <fieldUsage x="1"/>
      </fieldsUsage>
      <extLst>
        <ext xmlns:x15="http://schemas.microsoft.com/office/spreadsheetml/2010/11/main" uri="{B97F6D7D-B522-45F9-BDA1-12C45D357490}">
          <x15:cacheHierarchy aggregatedColumn="15"/>
        </ext>
      </extLst>
    </cacheHierarchy>
    <cacheHierarchy uniqueName="[Measures].[Max of Average (°F)]" caption="Max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Average (°F) 2]" caption="Sum of Average (°F) 2" measure="1" displayFolder="" measureGroup="Temp" count="0" hidden="1">
      <extLst>
        <ext xmlns:x15="http://schemas.microsoft.com/office/spreadsheetml/2010/11/main" uri="{B97F6D7D-B522-45F9-BDA1-12C45D357490}">
          <x15:cacheHierarchy aggregatedColumn="17"/>
        </ext>
      </extLst>
    </cacheHierarchy>
    <cacheHierarchy uniqueName="[Measures].[Max of Average (°F) 2]" caption="Max of Average (°F) 2" measure="1" displayFolder="" measureGroup="Temp" count="0" hidden="1">
      <extLst>
        <ext xmlns:x15="http://schemas.microsoft.com/office/spreadsheetml/2010/11/main" uri="{B97F6D7D-B522-45F9-BDA1-12C45D357490}">
          <x15:cacheHierarchy aggregatedColumn="17"/>
        </ext>
      </extLst>
    </cacheHierarchy>
    <cacheHierarchy uniqueName="[Measures].[Max of Safety Score (out of 100)]" caption="Max of Safety Score (out of 100)" measure="1" displayFolder="" measureGroup="Safety_Rate" count="0" hidden="1">
      <extLst>
        <ext xmlns:x15="http://schemas.microsoft.com/office/spreadsheetml/2010/11/main" uri="{B97F6D7D-B522-45F9-BDA1-12C45D357490}">
          <x15:cacheHierarchy aggregatedColumn="12"/>
        </ext>
      </extLst>
    </cacheHierarchy>
    <cacheHierarchy uniqueName="[Measures].[Sum of Monthly Housing (USD)]" caption="Sum of Monthly Housing (USD)" measure="1" displayFolder="" measureGroup="Cost_of_living" count="0" hidden="1">
      <extLst>
        <ext xmlns:x15="http://schemas.microsoft.com/office/spreadsheetml/2010/11/main" uri="{B97F6D7D-B522-45F9-BDA1-12C45D357490}">
          <x15:cacheHierarchy aggregatedColumn="1"/>
        </ext>
      </extLst>
    </cacheHierarchy>
  </cacheHierarchies>
  <kpis count="0"/>
  <dimensions count="8">
    <dimension name="Cost_of_living" uniqueName="[Cost_of_living]" caption="Cost_of_living"/>
    <dimension name="Healthcare" uniqueName="[Healthcare]" caption="Healthcare"/>
    <dimension measure="1" name="Measures" uniqueName="[Measures]" caption="Measures"/>
    <dimension name="Safety_Rate" uniqueName="[Safety_Rate]" caption="Safety_Rate"/>
    <dimension name="Tax" uniqueName="[Tax]" caption="Tax"/>
    <dimension name="Temp" uniqueName="[Temp]" caption="Temp"/>
    <dimension name="Temperature" uniqueName="[Temperature]" caption="Temperature"/>
    <dimension name="Transportation" uniqueName="[Transportation]" caption="Transportation"/>
  </dimensions>
  <measureGroups count="7">
    <measureGroup name="Cost_of_living" caption="Cost_of_living"/>
    <measureGroup name="Healthcare" caption="Healthcare"/>
    <measureGroup name="Safety_Rate" caption="Safety_Rate"/>
    <measureGroup name="Tax" caption="Tax"/>
    <measureGroup name="Temp" caption="Temp"/>
    <measureGroup name="Temperature" caption="Temperature"/>
    <measureGroup name="Transportation" caption="Transportation"/>
  </measureGroups>
  <maps count="21">
    <map measureGroup="0" dimension="0"/>
    <map measureGroup="1" dimension="0"/>
    <map measureGroup="1" dimension="1"/>
    <map measureGroup="1" dimension="4"/>
    <map measureGroup="1" dimension="6"/>
    <map measureGroup="2" dimension="0"/>
    <map measureGroup="2" dimension="3"/>
    <map measureGroup="2" dimension="4"/>
    <map measureGroup="2" dimension="6"/>
    <map measureGroup="3" dimension="0"/>
    <map measureGroup="3" dimension="4"/>
    <map measureGroup="3" dimension="6"/>
    <map measureGroup="4" dimension="0"/>
    <map measureGroup="4" dimension="4"/>
    <map measureGroup="4" dimension="5"/>
    <map measureGroup="4" dimension="6"/>
    <map measureGroup="5" dimension="6"/>
    <map measureGroup="6" dimension="0"/>
    <map measureGroup="6" dimension="4"/>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esha Musani" refreshedDate="45680.624117824074" backgroundQuery="1" createdVersion="8" refreshedVersion="8" minRefreshableVersion="3" recordCount="0" supportSubquery="1" supportAdvancedDrill="1" xr:uid="{FFE9B2F9-FA31-4F12-95C0-A2117CEC0575}">
  <cacheSource type="external" connectionId="1"/>
  <cacheFields count="3">
    <cacheField name="[Cost_of_living].[City].[City]" caption="City" numFmtId="0" level="1">
      <sharedItems containsSemiMixedTypes="0" containsNonDate="0" containsString="0"/>
    </cacheField>
    <cacheField name="[Temp].[City].[City]" caption="City" numFmtId="0" hierarchy="16" level="1">
      <sharedItems count="19">
        <s v="San Francisco, CA"/>
        <s v="Seattle, WA"/>
        <s v="Tallahassee, FL"/>
        <s v="Washington, DC"/>
        <s v="New York City, NY" u="1"/>
        <s v="San Jose, CA" u="1"/>
        <s v="Lansing, MI" u="1"/>
        <s v="Huntsville, AL" u="1"/>
        <s v="Boulder, CO" u="1"/>
        <s v="Atlanta, GA" u="1"/>
        <s v="Austin, TX" u="1"/>
        <s v="Baltimore, MD" u="1"/>
        <s v="Charlotte, NC" u="1"/>
        <s v="Des Moines, IA" u="1"/>
        <s v="Raleigh, NC" u="1"/>
        <s v="Hartford, CT" u="1"/>
        <s v="Dallas, TX" u="1"/>
        <s v="Durham-Chapel Hill, NC" u="1"/>
        <s v="Colorado Springs, CO" u="1"/>
      </sharedItems>
    </cacheField>
    <cacheField name="[Measures].[Max of Average (°F) 2]" caption="Max of Average (°F) 2" numFmtId="0" hierarchy="55" level="32767"/>
  </cacheFields>
  <cacheHierarchies count="58">
    <cacheHierarchy uniqueName="[Cost_of_living].[City]" caption="City" attribute="1" defaultMemberUniqueName="[Cost_of_living].[City].[All]" allUniqueName="[Cost_of_living].[City].[All]" dimensionUniqueName="[Cost_of_living]" displayFolder="" count="2" memberValueDatatype="130" unbalanced="0">
      <fieldsUsage count="2">
        <fieldUsage x="-1"/>
        <fieldUsage x="0"/>
      </fieldsUsage>
    </cacheHierarchy>
    <cacheHierarchy uniqueName="[Cost_of_living].[Monthly Housing (USD)]" caption="Monthly Housing (USD)" attribute="1" defaultMemberUniqueName="[Cost_of_living].[Monthly Housing (USD)].[All]" allUniqueName="[Cost_of_living].[Monthly Housing (USD)].[All]" dimensionUniqueName="[Cost_of_living]" displayFolder="" count="0" memberValueDatatype="20" unbalanced="0"/>
    <cacheHierarchy uniqueName="[Cost_of_living].[Utilities (USD)]" caption="Utilities (USD)" attribute="1" defaultMemberUniqueName="[Cost_of_living].[Utilities (USD)].[All]" allUniqueName="[Cost_of_living].[Utilities (USD)].[All]" dimensionUniqueName="[Cost_of_living]" displayFolder="" count="0" memberValueDatatype="20" unbalanced="0"/>
    <cacheHierarchy uniqueName="[Cost_of_living].[Transportation (USD)]" caption="Transportation (USD)" attribute="1" defaultMemberUniqueName="[Cost_of_living].[Transportation (USD)].[All]" allUniqueName="[Cost_of_living].[Transportation (USD)].[All]" dimensionUniqueName="[Cost_of_living]" displayFolder="" count="0" memberValueDatatype="20" unbalanced="0"/>
    <cacheHierarchy uniqueName="[Cost_of_living].[Groceries (USD)]" caption="Groceries (USD)" attribute="1" defaultMemberUniqueName="[Cost_of_living].[Groceries (USD)].[All]" allUniqueName="[Cost_of_living].[Groceries (USD)].[All]" dimensionUniqueName="[Cost_of_living]" displayFolder="" count="0" memberValueDatatype="20" unbalanced="0"/>
    <cacheHierarchy uniqueName="[Cost_of_living].[Overall Monthly Cost (USD)]" caption="Overall Monthly Cost (USD)" attribute="1" defaultMemberUniqueName="[Cost_of_living].[Overall Monthly Cost (USD)].[All]" allUniqueName="[Cost_of_living].[Overall Monthly Cost (USD)].[All]" dimensionUniqueName="[Cost_of_living]" displayFolder="" count="0" memberValueDatatype="20" unbalanced="0"/>
    <cacheHierarchy uniqueName="[Healthcare].[City]" caption="City" attribute="1" defaultMemberUniqueName="[Healthcare].[City].[All]" allUniqueName="[Healthcare].[City].[All]" dimensionUniqueName="[Healthcare]" displayFolder="" count="0" memberValueDatatype="130" unbalanced="0"/>
    <cacheHierarchy uniqueName="[Healthcare].[Healthcare Access &amp; Availability]" caption="Healthcare Access &amp; Availability" attribute="1" defaultMemberUniqueName="[Healthcare].[Healthcare Access &amp; Availability].[All]" allUniqueName="[Healthcare].[Healthcare Access &amp; Availability].[All]" dimensionUniqueName="[Healthcare]" displayFolder="" count="0" memberValueDatatype="130" unbalanced="0"/>
    <cacheHierarchy uniqueName="[Healthcare].[Healthcare Quality (Rating)]" caption="Healthcare Quality (Rating)" attribute="1" defaultMemberUniqueName="[Healthcare].[Healthcare Quality (Rating)].[All]" allUniqueName="[Healthcare].[Healthcare Quality (Rating)].[All]" dimensionUniqueName="[Healthcare]" displayFolder="" count="0" memberValueDatatype="20" unbalanced="0"/>
    <cacheHierarchy uniqueName="[Healthcare].[Column1]" caption="Column1" attribute="1" defaultMemberUniqueName="[Healthcare].[Column1].[All]" allUniqueName="[Healthcare].[Column1].[All]" dimensionUniqueName="[Healthcare]" displayFolder="" count="0" memberValueDatatype="130" unbalanced="0"/>
    <cacheHierarchy uniqueName="[Safety_Rate].[City]" caption="City" attribute="1" defaultMemberUniqueName="[Safety_Rate].[City].[All]" allUniqueName="[Safety_Rate].[City].[All]" dimensionUniqueName="[Safety_Rate]" displayFolder="" count="0" memberValueDatatype="130" unbalanced="0"/>
    <cacheHierarchy uniqueName="[Safety_Rate].[Crime Rate (per 100,000)]" caption="Crime Rate (per 100,000)" attribute="1" defaultMemberUniqueName="[Safety_Rate].[Crime Rate (per 100,000)].[All]" allUniqueName="[Safety_Rate].[Crime Rate (per 100,000)].[All]" dimensionUniqueName="[Safety_Rate]" displayFolder="" count="0" memberValueDatatype="20" unbalanced="0"/>
    <cacheHierarchy uniqueName="[Safety_Rate].[Safety Score (out of 100)]" caption="Safety Score (out of 100)" attribute="1" defaultMemberUniqueName="[Safety_Rate].[Safety Score (out of 100)].[All]" allUniqueName="[Safety_Rate].[Safety Score (out of 100)].[All]" dimensionUniqueName="[Safety_Rate]" displayFolder="" count="0" memberValueDatatype="5" unbalanced="0"/>
    <cacheHierarchy uniqueName="[Safety_Rate].[Rating]" caption="Rating" attribute="1" defaultMemberUniqueName="[Safety_Rate].[Rating].[All]" allUniqueName="[Safety_Rate].[Rating].[All]" dimensionUniqueName="[Safety_Rate]" displayFolder="" count="0" memberValueDatatype="130" unbalanced="0"/>
    <cacheHierarchy uniqueName="[Tax].[City]" caption="City" attribute="1" defaultMemberUniqueName="[Tax].[City].[All]" allUniqueName="[Tax].[City].[All]" dimensionUniqueName="[Tax]" displayFolder="" count="0" memberValueDatatype="130" unbalanced="0"/>
    <cacheHierarchy uniqueName="[Tax].[Tax Rates (avg. %)]" caption="Tax Rates (avg. %)" attribute="1" defaultMemberUniqueName="[Tax].[Tax Rates (avg. %)].[All]" allUniqueName="[Tax].[Tax Rates (avg. %)].[All]" dimensionUniqueName="[Tax]" displayFolder="" count="0" memberValueDatatype="5" unbalanced="0"/>
    <cacheHierarchy uniqueName="[Temp].[City]" caption="City" attribute="1" defaultMemberUniqueName="[Temp].[City].[All]" allUniqueName="[Temp].[City].[All]" dimensionUniqueName="[Temp]" displayFolder="" count="2" memberValueDatatype="130" unbalanced="0">
      <fieldsUsage count="2">
        <fieldUsage x="-1"/>
        <fieldUsage x="1"/>
      </fieldsUsage>
    </cacheHierarchy>
    <cacheHierarchy uniqueName="[Temp].[Average (°F)]" caption="Average (°F)" attribute="1" defaultMemberUniqueName="[Temp].[Average (°F)].[All]" allUniqueName="[Temp].[Average (°F)].[All]" dimensionUniqueName="[Temp]" displayFolder="" count="0" memberValueDatatype="5" unbalanced="0"/>
    <cacheHierarchy uniqueName="[Temperature].[City]" caption="City" attribute="1" defaultMemberUniqueName="[Temperature].[City].[All]" allUniqueName="[Temperature].[City].[All]" dimensionUniqueName="[Temperature]" displayFolder="" count="0" memberValueDatatype="130" unbalanced="0"/>
    <cacheHierarchy uniqueName="[Temperature].[Sunny Day]" caption="Sunny Day" attribute="1" defaultMemberUniqueName="[Temperature].[Sunny Day].[All]" allUniqueName="[Temperature].[Sunny Day].[All]" dimensionUniqueName="[Temperature]" displayFolder="" count="0" memberValueDatatype="20" unbalanced="0"/>
    <cacheHierarchy uniqueName="[Temperature].[Precipitation day]" caption="Precipitation day" attribute="1" defaultMemberUniqueName="[Temperature].[Precipitation day].[All]" allUniqueName="[Temperature].[Precipitation day].[All]" dimensionUniqueName="[Temperature]" displayFolder="" count="0" memberValueDatatype="20" unbalanced="0"/>
    <cacheHierarchy uniqueName="[Temperature].[Snow Day]" caption="Snow Day" attribute="1" defaultMemberUniqueName="[Temperature].[Snow Day].[All]" allUniqueName="[Temperature].[Snow Day].[All]" dimensionUniqueName="[Temperature]" displayFolder="" count="0" memberValueDatatype="5" unbalanced="0"/>
    <cacheHierarchy uniqueName="[Temperature].[High]" caption="High" attribute="1" defaultMemberUniqueName="[Temperature].[High].[All]" allUniqueName="[Temperature].[High].[All]" dimensionUniqueName="[Temperature]" displayFolder="" count="0" memberValueDatatype="20" unbalanced="0"/>
    <cacheHierarchy uniqueName="[Temperature].[Low]" caption="Low" attribute="1" defaultMemberUniqueName="[Temperature].[Low].[All]" allUniqueName="[Temperature].[Low].[All]" dimensionUniqueName="[Temperature]" displayFolder="" count="0" memberValueDatatype="20" unbalanced="0"/>
    <cacheHierarchy uniqueName="[Temperature].[Average (°F)]" caption="Average (°F)" attribute="1" defaultMemberUniqueName="[Temperature].[Average (°F)].[All]" allUniqueName="[Temperature].[Average (°F)].[All]" dimensionUniqueName="[Temperature]" displayFolder="" count="0" memberValueDatatype="5" unbalanced="0"/>
    <cacheHierarchy uniqueName="[Transportation].[City]" caption="City" attribute="1" defaultMemberUniqueName="[Transportation].[City].[All]" allUniqueName="[Transportation].[City].[All]" dimensionUniqueName="[Transportation]" displayFolder="" count="0" memberValueDatatype="130" unbalanced="0"/>
    <cacheHierarchy uniqueName="[Transportation].[Transit Score]" caption="Transit Score" attribute="1" defaultMemberUniqueName="[Transportation].[Transit Score].[All]" allUniqueName="[Transportation].[Transit Score].[All]" dimensionUniqueName="[Transportation]" displayFolder="" count="0" memberValueDatatype="20" unbalanced="0"/>
    <cacheHierarchy uniqueName="[Measures].[__XL_Count Tax]" caption="__XL_Count Tax" measure="1" displayFolder="" measureGroup="Tax" count="0" hidden="1"/>
    <cacheHierarchy uniqueName="[Measures].[__XL_Count Cost_of_living]" caption="__XL_Count Cost_of_living" measure="1" displayFolder="" measureGroup="Cost_of_living" count="0" hidden="1"/>
    <cacheHierarchy uniqueName="[Measures].[__XL_Count Healthcare]" caption="__XL_Count Healthcare" measure="1" displayFolder="" measureGroup="Healthcare" count="0" hidden="1"/>
    <cacheHierarchy uniqueName="[Measures].[__XL_Count Safety_Rate]" caption="__XL_Count Safety_Rate" measure="1" displayFolder="" measureGroup="Safety_Rate" count="0" hidden="1"/>
    <cacheHierarchy uniqueName="[Measures].[__XL_Count Temperature]" caption="__XL_Count Temperature" measure="1" displayFolder="" measureGroup="Temperature" count="0" hidden="1"/>
    <cacheHierarchy uniqueName="[Measures].[__XL_Count Transportation]" caption="__XL_Count Transportation" measure="1" displayFolder="" measureGroup="Transportation" count="0" hidden="1"/>
    <cacheHierarchy uniqueName="[Measures].[__XL_Count Temp]" caption="__XL_Count Temp" measure="1" displayFolder="" measureGroup="Temp" count="0" hidden="1"/>
    <cacheHierarchy uniqueName="[Measures].[__No measures defined]" caption="__No measures defined" measure="1" displayFolder="" count="0" hidden="1"/>
    <cacheHierarchy uniqueName="[Measures].[Sum of Overall Monthly Cost (USD)]" caption="Sum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Sum of Healthcare Quality (Rating)]" caption="Sum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Sum of Tax Rates (avg. %)]" caption="Sum of Tax Rates (avg. %)" measure="1" displayFolder="" measureGroup="Tax" count="0" hidden="1">
      <extLst>
        <ext xmlns:x15="http://schemas.microsoft.com/office/spreadsheetml/2010/11/main" uri="{B97F6D7D-B522-45F9-BDA1-12C45D357490}">
          <x15:cacheHierarchy aggregatedColumn="15"/>
        </ext>
      </extLst>
    </cacheHierarchy>
    <cacheHierarchy uniqueName="[Measures].[Sum of Crime Rate (per 100,000)]" caption="Sum of Crime Rate (per 100,000)" measure="1" displayFolder="" measureGroup="Safety_Rate" count="0" hidden="1">
      <extLst>
        <ext xmlns:x15="http://schemas.microsoft.com/office/spreadsheetml/2010/11/main" uri="{B97F6D7D-B522-45F9-BDA1-12C45D357490}">
          <x15:cacheHierarchy aggregatedColumn="11"/>
        </ext>
      </extLst>
    </cacheHierarchy>
    <cacheHierarchy uniqueName="[Measures].[Sum of Safety Score (out of 100)]" caption="Sum of Safety Score (out of 100)" measure="1" displayFolder="" measureGroup="Safety_Rate" count="0" hidden="1">
      <extLst>
        <ext xmlns:x15="http://schemas.microsoft.com/office/spreadsheetml/2010/11/main" uri="{B97F6D7D-B522-45F9-BDA1-12C45D357490}">
          <x15:cacheHierarchy aggregatedColumn="12"/>
        </ext>
      </extLst>
    </cacheHierarchy>
    <cacheHierarchy uniqueName="[Measures].[Sum of Average (°F)]" caption="Sum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Low]" caption="Sum of Low" measure="1" displayFolder="" measureGroup="Temperature" count="0" hidden="1">
      <extLst>
        <ext xmlns:x15="http://schemas.microsoft.com/office/spreadsheetml/2010/11/main" uri="{B97F6D7D-B522-45F9-BDA1-12C45D357490}">
          <x15:cacheHierarchy aggregatedColumn="23"/>
        </ext>
      </extLst>
    </cacheHierarchy>
    <cacheHierarchy uniqueName="[Measures].[Count of Overall Monthly Cost (USD)]" caption="Count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Average of Healthcare Quality (Rating)]" caption="Average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Max of Overall Monthly Cost (USD)]" caption="Max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Min of Overall Monthly Cost (USD)]" caption="Min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Max of Healthcare Quality (Rating)]" caption="Max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Count of Transit Score]" caption="Count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Sum of Transit Score]" caption="Sum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Max of Transit Score]" caption="Max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Count of Rating]" caption="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Distinct Count of Rating]" caption="Distinct 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Min of Tax Rates (avg. %)]" caption="Min of Tax Rates (avg. %)" measure="1" displayFolder="" measureGroup="Tax" count="0" hidden="1">
      <extLst>
        <ext xmlns:x15="http://schemas.microsoft.com/office/spreadsheetml/2010/11/main" uri="{B97F6D7D-B522-45F9-BDA1-12C45D357490}">
          <x15:cacheHierarchy aggregatedColumn="15"/>
        </ext>
      </extLst>
    </cacheHierarchy>
    <cacheHierarchy uniqueName="[Measures].[Max of Average (°F)]" caption="Max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Average (°F) 2]" caption="Sum of Average (°F) 2" measure="1" displayFolder="" measureGroup="Temp" count="0" hidden="1">
      <extLst>
        <ext xmlns:x15="http://schemas.microsoft.com/office/spreadsheetml/2010/11/main" uri="{B97F6D7D-B522-45F9-BDA1-12C45D357490}">
          <x15:cacheHierarchy aggregatedColumn="17"/>
        </ext>
      </extLst>
    </cacheHierarchy>
    <cacheHierarchy uniqueName="[Measures].[Max of Average (°F) 2]" caption="Max of Average (°F) 2" measure="1" displayFolder="" measureGroup="Temp" count="0" oneField="1" hidden="1">
      <fieldsUsage count="1">
        <fieldUsage x="2"/>
      </fieldsUsage>
      <extLst>
        <ext xmlns:x15="http://schemas.microsoft.com/office/spreadsheetml/2010/11/main" uri="{B97F6D7D-B522-45F9-BDA1-12C45D357490}">
          <x15:cacheHierarchy aggregatedColumn="17"/>
        </ext>
      </extLst>
    </cacheHierarchy>
    <cacheHierarchy uniqueName="[Measures].[Max of Safety Score (out of 100)]" caption="Max of Safety Score (out of 100)" measure="1" displayFolder="" measureGroup="Safety_Rate" count="0" hidden="1">
      <extLst>
        <ext xmlns:x15="http://schemas.microsoft.com/office/spreadsheetml/2010/11/main" uri="{B97F6D7D-B522-45F9-BDA1-12C45D357490}">
          <x15:cacheHierarchy aggregatedColumn="12"/>
        </ext>
      </extLst>
    </cacheHierarchy>
    <cacheHierarchy uniqueName="[Measures].[Sum of Monthly Housing (USD)]" caption="Sum of Monthly Housing (USD)" measure="1" displayFolder="" measureGroup="Cost_of_living" count="0" hidden="1">
      <extLst>
        <ext xmlns:x15="http://schemas.microsoft.com/office/spreadsheetml/2010/11/main" uri="{B97F6D7D-B522-45F9-BDA1-12C45D357490}">
          <x15:cacheHierarchy aggregatedColumn="1"/>
        </ext>
      </extLst>
    </cacheHierarchy>
  </cacheHierarchies>
  <kpis count="0"/>
  <dimensions count="8">
    <dimension name="Cost_of_living" uniqueName="[Cost_of_living]" caption="Cost_of_living"/>
    <dimension name="Healthcare" uniqueName="[Healthcare]" caption="Healthcare"/>
    <dimension measure="1" name="Measures" uniqueName="[Measures]" caption="Measures"/>
    <dimension name="Safety_Rate" uniqueName="[Safety_Rate]" caption="Safety_Rate"/>
    <dimension name="Tax" uniqueName="[Tax]" caption="Tax"/>
    <dimension name="Temp" uniqueName="[Temp]" caption="Temp"/>
    <dimension name="Temperature" uniqueName="[Temperature]" caption="Temperature"/>
    <dimension name="Transportation" uniqueName="[Transportation]" caption="Transportation"/>
  </dimensions>
  <measureGroups count="7">
    <measureGroup name="Cost_of_living" caption="Cost_of_living"/>
    <measureGroup name="Healthcare" caption="Healthcare"/>
    <measureGroup name="Safety_Rate" caption="Safety_Rate"/>
    <measureGroup name="Tax" caption="Tax"/>
    <measureGroup name="Temp" caption="Temp"/>
    <measureGroup name="Temperature" caption="Temperature"/>
    <measureGroup name="Transportation" caption="Transportation"/>
  </measureGroups>
  <maps count="21">
    <map measureGroup="0" dimension="0"/>
    <map measureGroup="1" dimension="0"/>
    <map measureGroup="1" dimension="1"/>
    <map measureGroup="1" dimension="4"/>
    <map measureGroup="1" dimension="6"/>
    <map measureGroup="2" dimension="0"/>
    <map measureGroup="2" dimension="3"/>
    <map measureGroup="2" dimension="4"/>
    <map measureGroup="2" dimension="6"/>
    <map measureGroup="3" dimension="0"/>
    <map measureGroup="3" dimension="4"/>
    <map measureGroup="3" dimension="6"/>
    <map measureGroup="4" dimension="0"/>
    <map measureGroup="4" dimension="4"/>
    <map measureGroup="4" dimension="5"/>
    <map measureGroup="4" dimension="6"/>
    <map measureGroup="5" dimension="6"/>
    <map measureGroup="6" dimension="0"/>
    <map measureGroup="6" dimension="4"/>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esha Musani" refreshedDate="45680.624118402775" backgroundQuery="1" createdVersion="8" refreshedVersion="8" minRefreshableVersion="3" recordCount="0" supportSubquery="1" supportAdvancedDrill="1" xr:uid="{2450F30E-6614-47F4-A424-AFE903DF3179}">
  <cacheSource type="external" connectionId="1"/>
  <cacheFields count="2">
    <cacheField name="[Cost_of_living].[City].[City]" caption="City" numFmtId="0" level="1">
      <sharedItems count="4">
        <s v="San Francisco, CA"/>
        <s v="Seattle, WA"/>
        <s v="Tallahassee, FL"/>
        <s v="Washington, DC"/>
      </sharedItems>
    </cacheField>
    <cacheField name="[Measures].[Sum of Monthly Housing (USD)]" caption="Sum of Monthly Housing (USD)" numFmtId="0" hierarchy="57" level="32767"/>
  </cacheFields>
  <cacheHierarchies count="58">
    <cacheHierarchy uniqueName="[Cost_of_living].[City]" caption="City" attribute="1" defaultMemberUniqueName="[Cost_of_living].[City].[All]" allUniqueName="[Cost_of_living].[City].[All]" dimensionUniqueName="[Cost_of_living]" displayFolder="" count="2" memberValueDatatype="130" unbalanced="0">
      <fieldsUsage count="2">
        <fieldUsage x="-1"/>
        <fieldUsage x="0"/>
      </fieldsUsage>
    </cacheHierarchy>
    <cacheHierarchy uniqueName="[Cost_of_living].[Monthly Housing (USD)]" caption="Monthly Housing (USD)" attribute="1" defaultMemberUniqueName="[Cost_of_living].[Monthly Housing (USD)].[All]" allUniqueName="[Cost_of_living].[Monthly Housing (USD)].[All]" dimensionUniqueName="[Cost_of_living]" displayFolder="" count="0" memberValueDatatype="20" unbalanced="0"/>
    <cacheHierarchy uniqueName="[Cost_of_living].[Utilities (USD)]" caption="Utilities (USD)" attribute="1" defaultMemberUniqueName="[Cost_of_living].[Utilities (USD)].[All]" allUniqueName="[Cost_of_living].[Utilities (USD)].[All]" dimensionUniqueName="[Cost_of_living]" displayFolder="" count="0" memberValueDatatype="20" unbalanced="0"/>
    <cacheHierarchy uniqueName="[Cost_of_living].[Transportation (USD)]" caption="Transportation (USD)" attribute="1" defaultMemberUniqueName="[Cost_of_living].[Transportation (USD)].[All]" allUniqueName="[Cost_of_living].[Transportation (USD)].[All]" dimensionUniqueName="[Cost_of_living]" displayFolder="" count="0" memberValueDatatype="20" unbalanced="0"/>
    <cacheHierarchy uniqueName="[Cost_of_living].[Groceries (USD)]" caption="Groceries (USD)" attribute="1" defaultMemberUniqueName="[Cost_of_living].[Groceries (USD)].[All]" allUniqueName="[Cost_of_living].[Groceries (USD)].[All]" dimensionUniqueName="[Cost_of_living]" displayFolder="" count="0" memberValueDatatype="20" unbalanced="0"/>
    <cacheHierarchy uniqueName="[Cost_of_living].[Overall Monthly Cost (USD)]" caption="Overall Monthly Cost (USD)" attribute="1" defaultMemberUniqueName="[Cost_of_living].[Overall Monthly Cost (USD)].[All]" allUniqueName="[Cost_of_living].[Overall Monthly Cost (USD)].[All]" dimensionUniqueName="[Cost_of_living]" displayFolder="" count="0" memberValueDatatype="20" unbalanced="0"/>
    <cacheHierarchy uniqueName="[Healthcare].[City]" caption="City" attribute="1" defaultMemberUniqueName="[Healthcare].[City].[All]" allUniqueName="[Healthcare].[City].[All]" dimensionUniqueName="[Healthcare]" displayFolder="" count="0" memberValueDatatype="130" unbalanced="0"/>
    <cacheHierarchy uniqueName="[Healthcare].[Healthcare Access &amp; Availability]" caption="Healthcare Access &amp; Availability" attribute="1" defaultMemberUniqueName="[Healthcare].[Healthcare Access &amp; Availability].[All]" allUniqueName="[Healthcare].[Healthcare Access &amp; Availability].[All]" dimensionUniqueName="[Healthcare]" displayFolder="" count="0" memberValueDatatype="130" unbalanced="0"/>
    <cacheHierarchy uniqueName="[Healthcare].[Healthcare Quality (Rating)]" caption="Healthcare Quality (Rating)" attribute="1" defaultMemberUniqueName="[Healthcare].[Healthcare Quality (Rating)].[All]" allUniqueName="[Healthcare].[Healthcare Quality (Rating)].[All]" dimensionUniqueName="[Healthcare]" displayFolder="" count="0" memberValueDatatype="20" unbalanced="0"/>
    <cacheHierarchy uniqueName="[Healthcare].[Column1]" caption="Column1" attribute="1" defaultMemberUniqueName="[Healthcare].[Column1].[All]" allUniqueName="[Healthcare].[Column1].[All]" dimensionUniqueName="[Healthcare]" displayFolder="" count="0" memberValueDatatype="130" unbalanced="0"/>
    <cacheHierarchy uniqueName="[Safety_Rate].[City]" caption="City" attribute="1" defaultMemberUniqueName="[Safety_Rate].[City].[All]" allUniqueName="[Safety_Rate].[City].[All]" dimensionUniqueName="[Safety_Rate]" displayFolder="" count="0" memberValueDatatype="130" unbalanced="0"/>
    <cacheHierarchy uniqueName="[Safety_Rate].[Crime Rate (per 100,000)]" caption="Crime Rate (per 100,000)" attribute="1" defaultMemberUniqueName="[Safety_Rate].[Crime Rate (per 100,000)].[All]" allUniqueName="[Safety_Rate].[Crime Rate (per 100,000)].[All]" dimensionUniqueName="[Safety_Rate]" displayFolder="" count="0" memberValueDatatype="20" unbalanced="0"/>
    <cacheHierarchy uniqueName="[Safety_Rate].[Safety Score (out of 100)]" caption="Safety Score (out of 100)" attribute="1" defaultMemberUniqueName="[Safety_Rate].[Safety Score (out of 100)].[All]" allUniqueName="[Safety_Rate].[Safety Score (out of 100)].[All]" dimensionUniqueName="[Safety_Rate]" displayFolder="" count="0" memberValueDatatype="5" unbalanced="0"/>
    <cacheHierarchy uniqueName="[Safety_Rate].[Rating]" caption="Rating" attribute="1" defaultMemberUniqueName="[Safety_Rate].[Rating].[All]" allUniqueName="[Safety_Rate].[Rating].[All]" dimensionUniqueName="[Safety_Rate]" displayFolder="" count="0" memberValueDatatype="130" unbalanced="0"/>
    <cacheHierarchy uniqueName="[Tax].[City]" caption="City" attribute="1" defaultMemberUniqueName="[Tax].[City].[All]" allUniqueName="[Tax].[City].[All]" dimensionUniqueName="[Tax]" displayFolder="" count="0" memberValueDatatype="130" unbalanced="0"/>
    <cacheHierarchy uniqueName="[Tax].[Tax Rates (avg. %)]" caption="Tax Rates (avg. %)" attribute="1" defaultMemberUniqueName="[Tax].[Tax Rates (avg. %)].[All]" allUniqueName="[Tax].[Tax Rates (avg. %)].[All]" dimensionUniqueName="[Tax]" displayFolder="" count="0" memberValueDatatype="5" unbalanced="0"/>
    <cacheHierarchy uniqueName="[Temp].[City]" caption="City" attribute="1" defaultMemberUniqueName="[Temp].[City].[All]" allUniqueName="[Temp].[City].[All]" dimensionUniqueName="[Temp]" displayFolder="" count="0" memberValueDatatype="130" unbalanced="0"/>
    <cacheHierarchy uniqueName="[Temp].[Average (°F)]" caption="Average (°F)" attribute="1" defaultMemberUniqueName="[Temp].[Average (°F)].[All]" allUniqueName="[Temp].[Average (°F)].[All]" dimensionUniqueName="[Temp]" displayFolder="" count="0" memberValueDatatype="5" unbalanced="0"/>
    <cacheHierarchy uniqueName="[Temperature].[City]" caption="City" attribute="1" defaultMemberUniqueName="[Temperature].[City].[All]" allUniqueName="[Temperature].[City].[All]" dimensionUniqueName="[Temperature]" displayFolder="" count="0" memberValueDatatype="130" unbalanced="0"/>
    <cacheHierarchy uniqueName="[Temperature].[Sunny Day]" caption="Sunny Day" attribute="1" defaultMemberUniqueName="[Temperature].[Sunny Day].[All]" allUniqueName="[Temperature].[Sunny Day].[All]" dimensionUniqueName="[Temperature]" displayFolder="" count="0" memberValueDatatype="20" unbalanced="0"/>
    <cacheHierarchy uniqueName="[Temperature].[Precipitation day]" caption="Precipitation day" attribute="1" defaultMemberUniqueName="[Temperature].[Precipitation day].[All]" allUniqueName="[Temperature].[Precipitation day].[All]" dimensionUniqueName="[Temperature]" displayFolder="" count="0" memberValueDatatype="20" unbalanced="0"/>
    <cacheHierarchy uniqueName="[Temperature].[Snow Day]" caption="Snow Day" attribute="1" defaultMemberUniqueName="[Temperature].[Snow Day].[All]" allUniqueName="[Temperature].[Snow Day].[All]" dimensionUniqueName="[Temperature]" displayFolder="" count="0" memberValueDatatype="5" unbalanced="0"/>
    <cacheHierarchy uniqueName="[Temperature].[High]" caption="High" attribute="1" defaultMemberUniqueName="[Temperature].[High].[All]" allUniqueName="[Temperature].[High].[All]" dimensionUniqueName="[Temperature]" displayFolder="" count="0" memberValueDatatype="20" unbalanced="0"/>
    <cacheHierarchy uniqueName="[Temperature].[Low]" caption="Low" attribute="1" defaultMemberUniqueName="[Temperature].[Low].[All]" allUniqueName="[Temperature].[Low].[All]" dimensionUniqueName="[Temperature]" displayFolder="" count="0" memberValueDatatype="20" unbalanced="0"/>
    <cacheHierarchy uniqueName="[Temperature].[Average (°F)]" caption="Average (°F)" attribute="1" defaultMemberUniqueName="[Temperature].[Average (°F)].[All]" allUniqueName="[Temperature].[Average (°F)].[All]" dimensionUniqueName="[Temperature]" displayFolder="" count="0" memberValueDatatype="5" unbalanced="0"/>
    <cacheHierarchy uniqueName="[Transportation].[City]" caption="City" attribute="1" defaultMemberUniqueName="[Transportation].[City].[All]" allUniqueName="[Transportation].[City].[All]" dimensionUniqueName="[Transportation]" displayFolder="" count="0" memberValueDatatype="130" unbalanced="0"/>
    <cacheHierarchy uniqueName="[Transportation].[Transit Score]" caption="Transit Score" attribute="1" defaultMemberUniqueName="[Transportation].[Transit Score].[All]" allUniqueName="[Transportation].[Transit Score].[All]" dimensionUniqueName="[Transportation]" displayFolder="" count="0" memberValueDatatype="20" unbalanced="0"/>
    <cacheHierarchy uniqueName="[Measures].[__XL_Count Tax]" caption="__XL_Count Tax" measure="1" displayFolder="" measureGroup="Tax" count="0" hidden="1"/>
    <cacheHierarchy uniqueName="[Measures].[__XL_Count Cost_of_living]" caption="__XL_Count Cost_of_living" measure="1" displayFolder="" measureGroup="Cost_of_living" count="0" hidden="1"/>
    <cacheHierarchy uniqueName="[Measures].[__XL_Count Healthcare]" caption="__XL_Count Healthcare" measure="1" displayFolder="" measureGroup="Healthcare" count="0" hidden="1"/>
    <cacheHierarchy uniqueName="[Measures].[__XL_Count Safety_Rate]" caption="__XL_Count Safety_Rate" measure="1" displayFolder="" measureGroup="Safety_Rate" count="0" hidden="1"/>
    <cacheHierarchy uniqueName="[Measures].[__XL_Count Temperature]" caption="__XL_Count Temperature" measure="1" displayFolder="" measureGroup="Temperature" count="0" hidden="1"/>
    <cacheHierarchy uniqueName="[Measures].[__XL_Count Transportation]" caption="__XL_Count Transportation" measure="1" displayFolder="" measureGroup="Transportation" count="0" hidden="1"/>
    <cacheHierarchy uniqueName="[Measures].[__XL_Count Temp]" caption="__XL_Count Temp" measure="1" displayFolder="" measureGroup="Temp" count="0" hidden="1"/>
    <cacheHierarchy uniqueName="[Measures].[__No measures defined]" caption="__No measures defined" measure="1" displayFolder="" count="0" hidden="1"/>
    <cacheHierarchy uniqueName="[Measures].[Sum of Overall Monthly Cost (USD)]" caption="Sum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Sum of Healthcare Quality (Rating)]" caption="Sum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Sum of Tax Rates (avg. %)]" caption="Sum of Tax Rates (avg. %)" measure="1" displayFolder="" measureGroup="Tax" count="0" hidden="1">
      <extLst>
        <ext xmlns:x15="http://schemas.microsoft.com/office/spreadsheetml/2010/11/main" uri="{B97F6D7D-B522-45F9-BDA1-12C45D357490}">
          <x15:cacheHierarchy aggregatedColumn="15"/>
        </ext>
      </extLst>
    </cacheHierarchy>
    <cacheHierarchy uniqueName="[Measures].[Sum of Crime Rate (per 100,000)]" caption="Sum of Crime Rate (per 100,000)" measure="1" displayFolder="" measureGroup="Safety_Rate" count="0" hidden="1">
      <extLst>
        <ext xmlns:x15="http://schemas.microsoft.com/office/spreadsheetml/2010/11/main" uri="{B97F6D7D-B522-45F9-BDA1-12C45D357490}">
          <x15:cacheHierarchy aggregatedColumn="11"/>
        </ext>
      </extLst>
    </cacheHierarchy>
    <cacheHierarchy uniqueName="[Measures].[Sum of Safety Score (out of 100)]" caption="Sum of Safety Score (out of 100)" measure="1" displayFolder="" measureGroup="Safety_Rate" count="0" hidden="1">
      <extLst>
        <ext xmlns:x15="http://schemas.microsoft.com/office/spreadsheetml/2010/11/main" uri="{B97F6D7D-B522-45F9-BDA1-12C45D357490}">
          <x15:cacheHierarchy aggregatedColumn="12"/>
        </ext>
      </extLst>
    </cacheHierarchy>
    <cacheHierarchy uniqueName="[Measures].[Sum of Average (°F)]" caption="Sum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Low]" caption="Sum of Low" measure="1" displayFolder="" measureGroup="Temperature" count="0" hidden="1">
      <extLst>
        <ext xmlns:x15="http://schemas.microsoft.com/office/spreadsheetml/2010/11/main" uri="{B97F6D7D-B522-45F9-BDA1-12C45D357490}">
          <x15:cacheHierarchy aggregatedColumn="23"/>
        </ext>
      </extLst>
    </cacheHierarchy>
    <cacheHierarchy uniqueName="[Measures].[Count of Overall Monthly Cost (USD)]" caption="Count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Average of Healthcare Quality (Rating)]" caption="Average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Max of Overall Monthly Cost (USD)]" caption="Max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Min of Overall Monthly Cost (USD)]" caption="Min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Max of Healthcare Quality (Rating)]" caption="Max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Count of Transit Score]" caption="Count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Sum of Transit Score]" caption="Sum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Max of Transit Score]" caption="Max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Count of Rating]" caption="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Distinct Count of Rating]" caption="Distinct 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Min of Tax Rates (avg. %)]" caption="Min of Tax Rates (avg. %)" measure="1" displayFolder="" measureGroup="Tax" count="0" hidden="1">
      <extLst>
        <ext xmlns:x15="http://schemas.microsoft.com/office/spreadsheetml/2010/11/main" uri="{B97F6D7D-B522-45F9-BDA1-12C45D357490}">
          <x15:cacheHierarchy aggregatedColumn="15"/>
        </ext>
      </extLst>
    </cacheHierarchy>
    <cacheHierarchy uniqueName="[Measures].[Max of Average (°F)]" caption="Max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Average (°F) 2]" caption="Sum of Average (°F) 2" measure="1" displayFolder="" measureGroup="Temp" count="0" hidden="1">
      <extLst>
        <ext xmlns:x15="http://schemas.microsoft.com/office/spreadsheetml/2010/11/main" uri="{B97F6D7D-B522-45F9-BDA1-12C45D357490}">
          <x15:cacheHierarchy aggregatedColumn="17"/>
        </ext>
      </extLst>
    </cacheHierarchy>
    <cacheHierarchy uniqueName="[Measures].[Max of Average (°F) 2]" caption="Max of Average (°F) 2" measure="1" displayFolder="" measureGroup="Temp" count="0" hidden="1">
      <extLst>
        <ext xmlns:x15="http://schemas.microsoft.com/office/spreadsheetml/2010/11/main" uri="{B97F6D7D-B522-45F9-BDA1-12C45D357490}">
          <x15:cacheHierarchy aggregatedColumn="17"/>
        </ext>
      </extLst>
    </cacheHierarchy>
    <cacheHierarchy uniqueName="[Measures].[Max of Safety Score (out of 100)]" caption="Max of Safety Score (out of 100)" measure="1" displayFolder="" measureGroup="Safety_Rate" count="0" hidden="1">
      <extLst>
        <ext xmlns:x15="http://schemas.microsoft.com/office/spreadsheetml/2010/11/main" uri="{B97F6D7D-B522-45F9-BDA1-12C45D357490}">
          <x15:cacheHierarchy aggregatedColumn="12"/>
        </ext>
      </extLst>
    </cacheHierarchy>
    <cacheHierarchy uniqueName="[Measures].[Sum of Monthly Housing (USD)]" caption="Sum of Monthly Housing (USD)" measure="1" displayFolder="" measureGroup="Cost_of_living" count="0" oneField="1" hidden="1">
      <fieldsUsage count="1">
        <fieldUsage x="1"/>
      </fieldsUsage>
      <extLst>
        <ext xmlns:x15="http://schemas.microsoft.com/office/spreadsheetml/2010/11/main" uri="{B97F6D7D-B522-45F9-BDA1-12C45D357490}">
          <x15:cacheHierarchy aggregatedColumn="1"/>
        </ext>
      </extLst>
    </cacheHierarchy>
  </cacheHierarchies>
  <kpis count="0"/>
  <dimensions count="8">
    <dimension name="Cost_of_living" uniqueName="[Cost_of_living]" caption="Cost_of_living"/>
    <dimension name="Healthcare" uniqueName="[Healthcare]" caption="Healthcare"/>
    <dimension measure="1" name="Measures" uniqueName="[Measures]" caption="Measures"/>
    <dimension name="Safety_Rate" uniqueName="[Safety_Rate]" caption="Safety_Rate"/>
    <dimension name="Tax" uniqueName="[Tax]" caption="Tax"/>
    <dimension name="Temp" uniqueName="[Temp]" caption="Temp"/>
    <dimension name="Temperature" uniqueName="[Temperature]" caption="Temperature"/>
    <dimension name="Transportation" uniqueName="[Transportation]" caption="Transportation"/>
  </dimensions>
  <measureGroups count="7">
    <measureGroup name="Cost_of_living" caption="Cost_of_living"/>
    <measureGroup name="Healthcare" caption="Healthcare"/>
    <measureGroup name="Safety_Rate" caption="Safety_Rate"/>
    <measureGroup name="Tax" caption="Tax"/>
    <measureGroup name="Temp" caption="Temp"/>
    <measureGroup name="Temperature" caption="Temperature"/>
    <measureGroup name="Transportation" caption="Transportation"/>
  </measureGroups>
  <maps count="21">
    <map measureGroup="0" dimension="0"/>
    <map measureGroup="1" dimension="0"/>
    <map measureGroup="1" dimension="1"/>
    <map measureGroup="1" dimension="4"/>
    <map measureGroup="1" dimension="6"/>
    <map measureGroup="2" dimension="0"/>
    <map measureGroup="2" dimension="3"/>
    <map measureGroup="2" dimension="4"/>
    <map measureGroup="2" dimension="6"/>
    <map measureGroup="3" dimension="0"/>
    <map measureGroup="3" dimension="4"/>
    <map measureGroup="3" dimension="6"/>
    <map measureGroup="4" dimension="0"/>
    <map measureGroup="4" dimension="4"/>
    <map measureGroup="4" dimension="5"/>
    <map measureGroup="4" dimension="6"/>
    <map measureGroup="5" dimension="6"/>
    <map measureGroup="6" dimension="0"/>
    <map measureGroup="6" dimension="4"/>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khil Jadhav" refreshedDate="45634.56241273148" backgroundQuery="1" createdVersion="3" refreshedVersion="8" minRefreshableVersion="3" recordCount="0" supportSubquery="1" supportAdvancedDrill="1" xr:uid="{D2F980DA-CEC6-45C9-A5E0-768531432491}">
  <cacheSource type="external" connectionId="1">
    <extLst>
      <ext xmlns:x14="http://schemas.microsoft.com/office/spreadsheetml/2009/9/main" uri="{F057638F-6D5F-4e77-A914-E7F072B9BCA8}">
        <x14:sourceConnection name="ThisWorkbookDataModel"/>
      </ext>
    </extLst>
  </cacheSource>
  <cacheFields count="0"/>
  <cacheHierarchies count="57">
    <cacheHierarchy uniqueName="[Cost_of_living].[City]" caption="City" attribute="1" defaultMemberUniqueName="[Cost_of_living].[City].[All]" allUniqueName="[Cost_of_living].[City].[All]" dimensionUniqueName="[Cost_of_living]" displayFolder="" count="0" memberValueDatatype="130" unbalanced="0"/>
    <cacheHierarchy uniqueName="[Cost_of_living].[Monthly Housing (USD)]" caption="Monthly Housing (USD)" attribute="1" defaultMemberUniqueName="[Cost_of_living].[Monthly Housing (USD)].[All]" allUniqueName="[Cost_of_living].[Monthly Housing (USD)].[All]" dimensionUniqueName="[Cost_of_living]" displayFolder="" count="0" memberValueDatatype="20" unbalanced="0"/>
    <cacheHierarchy uniqueName="[Cost_of_living].[Utilities (USD)]" caption="Utilities (USD)" attribute="1" defaultMemberUniqueName="[Cost_of_living].[Utilities (USD)].[All]" allUniqueName="[Cost_of_living].[Utilities (USD)].[All]" dimensionUniqueName="[Cost_of_living]" displayFolder="" count="0" memberValueDatatype="20" unbalanced="0"/>
    <cacheHierarchy uniqueName="[Cost_of_living].[Transportation (USD)]" caption="Transportation (USD)" attribute="1" defaultMemberUniqueName="[Cost_of_living].[Transportation (USD)].[All]" allUniqueName="[Cost_of_living].[Transportation (USD)].[All]" dimensionUniqueName="[Cost_of_living]" displayFolder="" count="0" memberValueDatatype="20" unbalanced="0"/>
    <cacheHierarchy uniqueName="[Cost_of_living].[Groceries (USD)]" caption="Groceries (USD)" attribute="1" defaultMemberUniqueName="[Cost_of_living].[Groceries (USD)].[All]" allUniqueName="[Cost_of_living].[Groceries (USD)].[All]" dimensionUniqueName="[Cost_of_living]" displayFolder="" count="0" memberValueDatatype="20" unbalanced="0"/>
    <cacheHierarchy uniqueName="[Cost_of_living].[Overall Monthly Cost (USD)]" caption="Overall Monthly Cost (USD)" attribute="1" defaultMemberUniqueName="[Cost_of_living].[Overall Monthly Cost (USD)].[All]" allUniqueName="[Cost_of_living].[Overall Monthly Cost (USD)].[All]" dimensionUniqueName="[Cost_of_living]" displayFolder="" count="0" memberValueDatatype="20" unbalanced="0"/>
    <cacheHierarchy uniqueName="[Healthcare].[City]" caption="City" attribute="1" defaultMemberUniqueName="[Healthcare].[City].[All]" allUniqueName="[Healthcare].[City].[All]" dimensionUniqueName="[Healthcare]" displayFolder="" count="0" memberValueDatatype="130" unbalanced="0"/>
    <cacheHierarchy uniqueName="[Healthcare].[Healthcare Access &amp; Availability]" caption="Healthcare Access &amp; Availability" attribute="1" defaultMemberUniqueName="[Healthcare].[Healthcare Access &amp; Availability].[All]" allUniqueName="[Healthcare].[Healthcare Access &amp; Availability].[All]" dimensionUniqueName="[Healthcare]" displayFolder="" count="0" memberValueDatatype="130" unbalanced="0"/>
    <cacheHierarchy uniqueName="[Healthcare].[Healthcare Quality (Rating)]" caption="Healthcare Quality (Rating)" attribute="1" defaultMemberUniqueName="[Healthcare].[Healthcare Quality (Rating)].[All]" allUniqueName="[Healthcare].[Healthcare Quality (Rating)].[All]" dimensionUniqueName="[Healthcare]" displayFolder="" count="0" memberValueDatatype="20" unbalanced="0"/>
    <cacheHierarchy uniqueName="[Healthcare].[Column1]" caption="Column1" attribute="1" defaultMemberUniqueName="[Healthcare].[Column1].[All]" allUniqueName="[Healthcare].[Column1].[All]" dimensionUniqueName="[Healthcare]" displayFolder="" count="0" memberValueDatatype="130" unbalanced="0"/>
    <cacheHierarchy uniqueName="[Safety_Rate].[City]" caption="City" attribute="1" defaultMemberUniqueName="[Safety_Rate].[City].[All]" allUniqueName="[Safety_Rate].[City].[All]" dimensionUniqueName="[Safety_Rate]" displayFolder="" count="0" memberValueDatatype="130" unbalanced="0"/>
    <cacheHierarchy uniqueName="[Safety_Rate].[Crime Rate (per 100,000)]" caption="Crime Rate (per 100,000)" attribute="1" defaultMemberUniqueName="[Safety_Rate].[Crime Rate (per 100,000)].[All]" allUniqueName="[Safety_Rate].[Crime Rate (per 100,000)].[All]" dimensionUniqueName="[Safety_Rate]" displayFolder="" count="0" memberValueDatatype="20" unbalanced="0"/>
    <cacheHierarchy uniqueName="[Safety_Rate].[Safety Score (out of 100)]" caption="Safety Score (out of 100)" attribute="1" defaultMemberUniqueName="[Safety_Rate].[Safety Score (out of 100)].[All]" allUniqueName="[Safety_Rate].[Safety Score (out of 100)].[All]" dimensionUniqueName="[Safety_Rate]" displayFolder="" count="0" memberValueDatatype="5" unbalanced="0"/>
    <cacheHierarchy uniqueName="[Safety_Rate].[Rating]" caption="Rating" attribute="1" defaultMemberUniqueName="[Safety_Rate].[Rating].[All]" allUniqueName="[Safety_Rate].[Rating].[All]" dimensionUniqueName="[Safety_Rate]" displayFolder="" count="0" memberValueDatatype="130" unbalanced="0"/>
    <cacheHierarchy uniqueName="[Tax].[City]" caption="City" attribute="1" defaultMemberUniqueName="[Tax].[City].[All]" allUniqueName="[Tax].[City].[All]" dimensionUniqueName="[Tax]" displayFolder="" count="0" memberValueDatatype="130" unbalanced="0"/>
    <cacheHierarchy uniqueName="[Tax].[Tax Rates (avg. %)]" caption="Tax Rates (avg. %)" attribute="1" defaultMemberUniqueName="[Tax].[Tax Rates (avg. %)].[All]" allUniqueName="[Tax].[Tax Rates (avg. %)].[All]" dimensionUniqueName="[Tax]" displayFolder="" count="0" memberValueDatatype="5" unbalanced="0"/>
    <cacheHierarchy uniqueName="[Temp].[City]" caption="City" attribute="1" defaultMemberUniqueName="[Temp].[City].[All]" allUniqueName="[Temp].[City].[All]" dimensionUniqueName="[Temp]" displayFolder="" count="0" memberValueDatatype="130" unbalanced="0"/>
    <cacheHierarchy uniqueName="[Temp].[Average (°F)]" caption="Average (°F)" attribute="1" defaultMemberUniqueName="[Temp].[Average (°F)].[All]" allUniqueName="[Temp].[Average (°F)].[All]" dimensionUniqueName="[Temp]" displayFolder="" count="0" memberValueDatatype="5" unbalanced="0"/>
    <cacheHierarchy uniqueName="[Temperature].[City]" caption="City" attribute="1" defaultMemberUniqueName="[Temperature].[City].[All]" allUniqueName="[Temperature].[City].[All]" dimensionUniqueName="[Temperature]" displayFolder="" count="0" memberValueDatatype="130" unbalanced="0"/>
    <cacheHierarchy uniqueName="[Temperature].[Sunny Day]" caption="Sunny Day" attribute="1" defaultMemberUniqueName="[Temperature].[Sunny Day].[All]" allUniqueName="[Temperature].[Sunny Day].[All]" dimensionUniqueName="[Temperature]" displayFolder="" count="0" memberValueDatatype="20" unbalanced="0"/>
    <cacheHierarchy uniqueName="[Temperature].[Precipitation day]" caption="Precipitation day" attribute="1" defaultMemberUniqueName="[Temperature].[Precipitation day].[All]" allUniqueName="[Temperature].[Precipitation day].[All]" dimensionUniqueName="[Temperature]" displayFolder="" count="0" memberValueDatatype="20" unbalanced="0"/>
    <cacheHierarchy uniqueName="[Temperature].[Snow Day]" caption="Snow Day" attribute="1" defaultMemberUniqueName="[Temperature].[Snow Day].[All]" allUniqueName="[Temperature].[Snow Day].[All]" dimensionUniqueName="[Temperature]" displayFolder="" count="0" memberValueDatatype="5" unbalanced="0"/>
    <cacheHierarchy uniqueName="[Temperature].[High]" caption="High" attribute="1" defaultMemberUniqueName="[Temperature].[High].[All]" allUniqueName="[Temperature].[High].[All]" dimensionUniqueName="[Temperature]" displayFolder="" count="0" memberValueDatatype="20" unbalanced="0"/>
    <cacheHierarchy uniqueName="[Temperature].[Low]" caption="Low" attribute="1" defaultMemberUniqueName="[Temperature].[Low].[All]" allUniqueName="[Temperature].[Low].[All]" dimensionUniqueName="[Temperature]" displayFolder="" count="0" memberValueDatatype="20" unbalanced="0"/>
    <cacheHierarchy uniqueName="[Temperature].[Average (°F)]" caption="Average (°F)" attribute="1" defaultMemberUniqueName="[Temperature].[Average (°F)].[All]" allUniqueName="[Temperature].[Average (°F)].[All]" dimensionUniqueName="[Temperature]" displayFolder="" count="0" memberValueDatatype="5" unbalanced="0"/>
    <cacheHierarchy uniqueName="[Transportation].[City]" caption="City" attribute="1" defaultMemberUniqueName="[Transportation].[City].[All]" allUniqueName="[Transportation].[City].[All]" dimensionUniqueName="[Transportation]" displayFolder="" count="0" memberValueDatatype="130" unbalanced="0"/>
    <cacheHierarchy uniqueName="[Transportation].[Transit Score]" caption="Transit Score" attribute="1" defaultMemberUniqueName="[Transportation].[Transit Score].[All]" allUniqueName="[Transportation].[Transit Score].[All]" dimensionUniqueName="[Transportation]" displayFolder="" count="0" memberValueDatatype="20" unbalanced="0"/>
    <cacheHierarchy uniqueName="[Measures].[__XL_Count Tax]" caption="__XL_Count Tax" measure="1" displayFolder="" measureGroup="Tax" count="0" hidden="1"/>
    <cacheHierarchy uniqueName="[Measures].[__XL_Count Cost_of_living]" caption="__XL_Count Cost_of_living" measure="1" displayFolder="" measureGroup="Cost_of_living" count="0" hidden="1"/>
    <cacheHierarchy uniqueName="[Measures].[__XL_Count Healthcare]" caption="__XL_Count Healthcare" measure="1" displayFolder="" measureGroup="Healthcare" count="0" hidden="1"/>
    <cacheHierarchy uniqueName="[Measures].[__XL_Count Safety_Rate]" caption="__XL_Count Safety_Rate" measure="1" displayFolder="" measureGroup="Safety_Rate" count="0" hidden="1"/>
    <cacheHierarchy uniqueName="[Measures].[__XL_Count Temperature]" caption="__XL_Count Temperature" measure="1" displayFolder="" measureGroup="Temperature" count="0" hidden="1"/>
    <cacheHierarchy uniqueName="[Measures].[__XL_Count Transportation]" caption="__XL_Count Transportation" measure="1" displayFolder="" measureGroup="Transportation" count="0" hidden="1"/>
    <cacheHierarchy uniqueName="[Measures].[__XL_Count Temp]" caption="__XL_Count Temp" measure="1" displayFolder="" measureGroup="Temp" count="0" hidden="1"/>
    <cacheHierarchy uniqueName="[Measures].[__No measures defined]" caption="__No measures defined" measure="1" displayFolder="" count="0" hidden="1"/>
    <cacheHierarchy uniqueName="[Measures].[Sum of Overall Monthly Cost (USD)]" caption="Sum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Sum of Healthcare Quality (Rating)]" caption="Sum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Sum of Tax Rates (avg. %)]" caption="Sum of Tax Rates (avg. %)" measure="1" displayFolder="" measureGroup="Tax" count="0" hidden="1">
      <extLst>
        <ext xmlns:x15="http://schemas.microsoft.com/office/spreadsheetml/2010/11/main" uri="{B97F6D7D-B522-45F9-BDA1-12C45D357490}">
          <x15:cacheHierarchy aggregatedColumn="15"/>
        </ext>
      </extLst>
    </cacheHierarchy>
    <cacheHierarchy uniqueName="[Measures].[Sum of Crime Rate (per 100,000)]" caption="Sum of Crime Rate (per 100,000)" measure="1" displayFolder="" measureGroup="Safety_Rate" count="0" hidden="1">
      <extLst>
        <ext xmlns:x15="http://schemas.microsoft.com/office/spreadsheetml/2010/11/main" uri="{B97F6D7D-B522-45F9-BDA1-12C45D357490}">
          <x15:cacheHierarchy aggregatedColumn="11"/>
        </ext>
      </extLst>
    </cacheHierarchy>
    <cacheHierarchy uniqueName="[Measures].[Sum of Safety Score (out of 100)]" caption="Sum of Safety Score (out of 100)" measure="1" displayFolder="" measureGroup="Safety_Rate" count="0" hidden="1">
      <extLst>
        <ext xmlns:x15="http://schemas.microsoft.com/office/spreadsheetml/2010/11/main" uri="{B97F6D7D-B522-45F9-BDA1-12C45D357490}">
          <x15:cacheHierarchy aggregatedColumn="12"/>
        </ext>
      </extLst>
    </cacheHierarchy>
    <cacheHierarchy uniqueName="[Measures].[Sum of Average (°F)]" caption="Sum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Low]" caption="Sum of Low" measure="1" displayFolder="" measureGroup="Temperature" count="0" hidden="1">
      <extLst>
        <ext xmlns:x15="http://schemas.microsoft.com/office/spreadsheetml/2010/11/main" uri="{B97F6D7D-B522-45F9-BDA1-12C45D357490}">
          <x15:cacheHierarchy aggregatedColumn="23"/>
        </ext>
      </extLst>
    </cacheHierarchy>
    <cacheHierarchy uniqueName="[Measures].[Count of Overall Monthly Cost (USD)]" caption="Count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Average of Healthcare Quality (Rating)]" caption="Average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Max of Overall Monthly Cost (USD)]" caption="Max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Min of Overall Monthly Cost (USD)]" caption="Min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Max of Healthcare Quality (Rating)]" caption="Max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Count of Transit Score]" caption="Count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Sum of Transit Score]" caption="Sum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Max of Transit Score]" caption="Max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Count of Rating]" caption="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Distinct Count of Rating]" caption="Distinct 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Min of Tax Rates (avg. %)]" caption="Min of Tax Rates (avg. %)" measure="1" displayFolder="" measureGroup="Tax" count="0" hidden="1">
      <extLst>
        <ext xmlns:x15="http://schemas.microsoft.com/office/spreadsheetml/2010/11/main" uri="{B97F6D7D-B522-45F9-BDA1-12C45D357490}">
          <x15:cacheHierarchy aggregatedColumn="15"/>
        </ext>
      </extLst>
    </cacheHierarchy>
    <cacheHierarchy uniqueName="[Measures].[Max of Average (°F)]" caption="Max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Average (°F) 2]" caption="Sum of Average (°F) 2" measure="1" displayFolder="" measureGroup="Temp" count="0" hidden="1">
      <extLst>
        <ext xmlns:x15="http://schemas.microsoft.com/office/spreadsheetml/2010/11/main" uri="{B97F6D7D-B522-45F9-BDA1-12C45D357490}">
          <x15:cacheHierarchy aggregatedColumn="17"/>
        </ext>
      </extLst>
    </cacheHierarchy>
    <cacheHierarchy uniqueName="[Measures].[Max of Average (°F) 2]" caption="Max of Average (°F) 2" measure="1" displayFolder="" measureGroup="Temp" count="0" hidden="1">
      <extLst>
        <ext xmlns:x15="http://schemas.microsoft.com/office/spreadsheetml/2010/11/main" uri="{B97F6D7D-B522-45F9-BDA1-12C45D357490}">
          <x15:cacheHierarchy aggregatedColumn="17"/>
        </ext>
      </extLst>
    </cacheHierarchy>
    <cacheHierarchy uniqueName="[Measures].[Max of Safety Score (out of 100)]" caption="Max of Safety Score (out of 100)" measure="1" displayFolder="" measureGroup="Safety_Rate" count="0" hidden="1">
      <extLst>
        <ext xmlns:x15="http://schemas.microsoft.com/office/spreadsheetml/2010/11/main" uri="{B97F6D7D-B522-45F9-BDA1-12C45D357490}">
          <x15:cacheHierarchy aggregatedColumn="12"/>
        </ext>
      </extLst>
    </cacheHierarchy>
  </cacheHierarchies>
  <kpis count="0"/>
  <dimensions count="8">
    <dimension name="Cost_of_living" uniqueName="[Cost_of_living]" caption="Cost_of_living"/>
    <dimension name="Healthcare" uniqueName="[Healthcare]" caption="Healthcare"/>
    <dimension measure="1" name="Measures" uniqueName="[Measures]" caption="Measures"/>
    <dimension name="Safety_Rate" uniqueName="[Safety_Rate]" caption="Safety_Rate"/>
    <dimension name="Tax" uniqueName="[Tax]" caption="Tax"/>
    <dimension name="Temp" uniqueName="[Temp]" caption="Temp"/>
    <dimension name="Temperature" uniqueName="[Temperature]" caption="Temperature"/>
    <dimension name="Transportation" uniqueName="[Transportation]" caption="Transportation"/>
  </dimensions>
  <measureGroups count="7">
    <measureGroup name="Cost_of_living" caption="Cost_of_living"/>
    <measureGroup name="Healthcare" caption="Healthcare"/>
    <measureGroup name="Safety_Rate" caption="Safety_Rate"/>
    <measureGroup name="Tax" caption="Tax"/>
    <measureGroup name="Temp" caption="Temp"/>
    <measureGroup name="Temperature" caption="Temperature"/>
    <measureGroup name="Transportation" caption="Transportation"/>
  </measureGroups>
  <maps count="21">
    <map measureGroup="0" dimension="0"/>
    <map measureGroup="1" dimension="0"/>
    <map measureGroup="1" dimension="1"/>
    <map measureGroup="1" dimension="4"/>
    <map measureGroup="1" dimension="6"/>
    <map measureGroup="2" dimension="0"/>
    <map measureGroup="2" dimension="3"/>
    <map measureGroup="2" dimension="4"/>
    <map measureGroup="2" dimension="6"/>
    <map measureGroup="3" dimension="0"/>
    <map measureGroup="3" dimension="4"/>
    <map measureGroup="3" dimension="6"/>
    <map measureGroup="4" dimension="0"/>
    <map measureGroup="4" dimension="4"/>
    <map measureGroup="4" dimension="5"/>
    <map measureGroup="4" dimension="6"/>
    <map measureGroup="5" dimension="6"/>
    <map measureGroup="6" dimension="0"/>
    <map measureGroup="6" dimension="4"/>
    <map measureGroup="6" dimension="6"/>
    <map measureGroup="6" dimension="7"/>
  </maps>
  <extLst>
    <ext xmlns:x14="http://schemas.microsoft.com/office/spreadsheetml/2009/9/main" uri="{725AE2AE-9491-48be-B2B4-4EB974FC3084}">
      <x14:pivotCacheDefinition slicerData="1" pivotCacheId="1785639154"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esha Musani" refreshedDate="45680.624118981483" createdVersion="5" refreshedVersion="8" minRefreshableVersion="3" recordCount="0" supportSubquery="1" supportAdvancedDrill="1" xr:uid="{9DAB6A0B-1927-440B-868C-395903540E0A}">
  <cacheSource type="external" connectionId="1">
    <extLst>
      <ext xmlns:x14="http://schemas.microsoft.com/office/spreadsheetml/2009/9/main" uri="{F057638F-6D5F-4e77-A914-E7F072B9BCA8}">
        <x14:sourceConnection name="ThisWorkbookDataModel"/>
      </ext>
    </extLst>
  </cacheSource>
  <cacheFields count="3">
    <cacheField name="[Transportation].[City].[City]" caption="City" numFmtId="0" hierarchy="25" level="1">
      <sharedItems count="4">
        <s v="San Francisco, CA"/>
        <s v="Seattle, WA"/>
        <s v="Tallahassee, FL"/>
        <s v="Washington, DC"/>
      </sharedItems>
    </cacheField>
    <cacheField name="[Measures].[Sum of Transit Score]" caption="Sum of Transit Score" numFmtId="0" hierarchy="48" level="32767"/>
    <cacheField name="[Cost_of_living].[City].[City]" caption="City" numFmtId="0" level="1">
      <sharedItems containsSemiMixedTypes="0" containsNonDate="0" containsString="0"/>
    </cacheField>
  </cacheFields>
  <cacheHierarchies count="58">
    <cacheHierarchy uniqueName="[Cost_of_living].[City]" caption="City" attribute="1" defaultMemberUniqueName="[Cost_of_living].[City].[All]" allUniqueName="[Cost_of_living].[City].[All]" dimensionUniqueName="[Cost_of_living]" displayFolder="" count="2" memberValueDatatype="130" unbalanced="0">
      <fieldsUsage count="2">
        <fieldUsage x="-1"/>
        <fieldUsage x="2"/>
      </fieldsUsage>
    </cacheHierarchy>
    <cacheHierarchy uniqueName="[Cost_of_living].[Monthly Housing (USD)]" caption="Monthly Housing (USD)" attribute="1" defaultMemberUniqueName="[Cost_of_living].[Monthly Housing (USD)].[All]" allUniqueName="[Cost_of_living].[Monthly Housing (USD)].[All]" dimensionUniqueName="[Cost_of_living]" displayFolder="" count="0" memberValueDatatype="20" unbalanced="0"/>
    <cacheHierarchy uniqueName="[Cost_of_living].[Utilities (USD)]" caption="Utilities (USD)" attribute="1" defaultMemberUniqueName="[Cost_of_living].[Utilities (USD)].[All]" allUniqueName="[Cost_of_living].[Utilities (USD)].[All]" dimensionUniqueName="[Cost_of_living]" displayFolder="" count="0" memberValueDatatype="20" unbalanced="0"/>
    <cacheHierarchy uniqueName="[Cost_of_living].[Transportation (USD)]" caption="Transportation (USD)" attribute="1" defaultMemberUniqueName="[Cost_of_living].[Transportation (USD)].[All]" allUniqueName="[Cost_of_living].[Transportation (USD)].[All]" dimensionUniqueName="[Cost_of_living]" displayFolder="" count="0" memberValueDatatype="20" unbalanced="0"/>
    <cacheHierarchy uniqueName="[Cost_of_living].[Groceries (USD)]" caption="Groceries (USD)" attribute="1" defaultMemberUniqueName="[Cost_of_living].[Groceries (USD)].[All]" allUniqueName="[Cost_of_living].[Groceries (USD)].[All]" dimensionUniqueName="[Cost_of_living]" displayFolder="" count="0" memberValueDatatype="20" unbalanced="0"/>
    <cacheHierarchy uniqueName="[Cost_of_living].[Overall Monthly Cost (USD)]" caption="Overall Monthly Cost (USD)" attribute="1" defaultMemberUniqueName="[Cost_of_living].[Overall Monthly Cost (USD)].[All]" allUniqueName="[Cost_of_living].[Overall Monthly Cost (USD)].[All]" dimensionUniqueName="[Cost_of_living]" displayFolder="" count="0" memberValueDatatype="20" unbalanced="0"/>
    <cacheHierarchy uniqueName="[Healthcare].[City]" caption="City" attribute="1" defaultMemberUniqueName="[Healthcare].[City].[All]" allUniqueName="[Healthcare].[City].[All]" dimensionUniqueName="[Healthcare]" displayFolder="" count="0" memberValueDatatype="130" unbalanced="0"/>
    <cacheHierarchy uniqueName="[Healthcare].[Healthcare Access &amp; Availability]" caption="Healthcare Access &amp; Availability" attribute="1" defaultMemberUniqueName="[Healthcare].[Healthcare Access &amp; Availability].[All]" allUniqueName="[Healthcare].[Healthcare Access &amp; Availability].[All]" dimensionUniqueName="[Healthcare]" displayFolder="" count="0" memberValueDatatype="130" unbalanced="0"/>
    <cacheHierarchy uniqueName="[Healthcare].[Healthcare Quality (Rating)]" caption="Healthcare Quality (Rating)" attribute="1" defaultMemberUniqueName="[Healthcare].[Healthcare Quality (Rating)].[All]" allUniqueName="[Healthcare].[Healthcare Quality (Rating)].[All]" dimensionUniqueName="[Healthcare]" displayFolder="" count="0" memberValueDatatype="20" unbalanced="0"/>
    <cacheHierarchy uniqueName="[Healthcare].[Column1]" caption="Column1" attribute="1" defaultMemberUniqueName="[Healthcare].[Column1].[All]" allUniqueName="[Healthcare].[Column1].[All]" dimensionUniqueName="[Healthcare]" displayFolder="" count="0" memberValueDatatype="130" unbalanced="0"/>
    <cacheHierarchy uniqueName="[Safety_Rate].[City]" caption="City" attribute="1" defaultMemberUniqueName="[Safety_Rate].[City].[All]" allUniqueName="[Safety_Rate].[City].[All]" dimensionUniqueName="[Safety_Rate]" displayFolder="" count="0" memberValueDatatype="130" unbalanced="0"/>
    <cacheHierarchy uniqueName="[Safety_Rate].[Crime Rate (per 100,000)]" caption="Crime Rate (per 100,000)" attribute="1" defaultMemberUniqueName="[Safety_Rate].[Crime Rate (per 100,000)].[All]" allUniqueName="[Safety_Rate].[Crime Rate (per 100,000)].[All]" dimensionUniqueName="[Safety_Rate]" displayFolder="" count="0" memberValueDatatype="20" unbalanced="0"/>
    <cacheHierarchy uniqueName="[Safety_Rate].[Safety Score (out of 100)]" caption="Safety Score (out of 100)" attribute="1" defaultMemberUniqueName="[Safety_Rate].[Safety Score (out of 100)].[All]" allUniqueName="[Safety_Rate].[Safety Score (out of 100)].[All]" dimensionUniqueName="[Safety_Rate]" displayFolder="" count="0" memberValueDatatype="5" unbalanced="0"/>
    <cacheHierarchy uniqueName="[Safety_Rate].[Rating]" caption="Rating" attribute="1" defaultMemberUniqueName="[Safety_Rate].[Rating].[All]" allUniqueName="[Safety_Rate].[Rating].[All]" dimensionUniqueName="[Safety_Rate]" displayFolder="" count="0" memberValueDatatype="130" unbalanced="0"/>
    <cacheHierarchy uniqueName="[Tax].[City]" caption="City" attribute="1" defaultMemberUniqueName="[Tax].[City].[All]" allUniqueName="[Tax].[City].[All]" dimensionUniqueName="[Tax]" displayFolder="" count="0" memberValueDatatype="130" unbalanced="0"/>
    <cacheHierarchy uniqueName="[Tax].[Tax Rates (avg. %)]" caption="Tax Rates (avg. %)" attribute="1" defaultMemberUniqueName="[Tax].[Tax Rates (avg. %)].[All]" allUniqueName="[Tax].[Tax Rates (avg. %)].[All]" dimensionUniqueName="[Tax]" displayFolder="" count="0" memberValueDatatype="5" unbalanced="0"/>
    <cacheHierarchy uniqueName="[Temp].[City]" caption="City" attribute="1" defaultMemberUniqueName="[Temp].[City].[All]" allUniqueName="[Temp].[City].[All]" dimensionUniqueName="[Temp]" displayFolder="" count="0" memberValueDatatype="130" unbalanced="0"/>
    <cacheHierarchy uniqueName="[Temp].[Average (°F)]" caption="Average (°F)" attribute="1" defaultMemberUniqueName="[Temp].[Average (°F)].[All]" allUniqueName="[Temp].[Average (°F)].[All]" dimensionUniqueName="[Temp]" displayFolder="" count="0" memberValueDatatype="5" unbalanced="0"/>
    <cacheHierarchy uniqueName="[Temperature].[City]" caption="City" attribute="1" defaultMemberUniqueName="[Temperature].[City].[All]" allUniqueName="[Temperature].[City].[All]" dimensionUniqueName="[Temperature]" displayFolder="" count="0" memberValueDatatype="130" unbalanced="0"/>
    <cacheHierarchy uniqueName="[Temperature].[Sunny Day]" caption="Sunny Day" attribute="1" defaultMemberUniqueName="[Temperature].[Sunny Day].[All]" allUniqueName="[Temperature].[Sunny Day].[All]" dimensionUniqueName="[Temperature]" displayFolder="" count="0" memberValueDatatype="20" unbalanced="0"/>
    <cacheHierarchy uniqueName="[Temperature].[Precipitation day]" caption="Precipitation day" attribute="1" defaultMemberUniqueName="[Temperature].[Precipitation day].[All]" allUniqueName="[Temperature].[Precipitation day].[All]" dimensionUniqueName="[Temperature]" displayFolder="" count="0" memberValueDatatype="20" unbalanced="0"/>
    <cacheHierarchy uniqueName="[Temperature].[Snow Day]" caption="Snow Day" attribute="1" defaultMemberUniqueName="[Temperature].[Snow Day].[All]" allUniqueName="[Temperature].[Snow Day].[All]" dimensionUniqueName="[Temperature]" displayFolder="" count="0" memberValueDatatype="5" unbalanced="0"/>
    <cacheHierarchy uniqueName="[Temperature].[High]" caption="High" attribute="1" defaultMemberUniqueName="[Temperature].[High].[All]" allUniqueName="[Temperature].[High].[All]" dimensionUniqueName="[Temperature]" displayFolder="" count="0" memberValueDatatype="20" unbalanced="0"/>
    <cacheHierarchy uniqueName="[Temperature].[Low]" caption="Low" attribute="1" defaultMemberUniqueName="[Temperature].[Low].[All]" allUniqueName="[Temperature].[Low].[All]" dimensionUniqueName="[Temperature]" displayFolder="" count="0" memberValueDatatype="20" unbalanced="0"/>
    <cacheHierarchy uniqueName="[Temperature].[Average (°F)]" caption="Average (°F)" attribute="1" defaultMemberUniqueName="[Temperature].[Average (°F)].[All]" allUniqueName="[Temperature].[Average (°F)].[All]" dimensionUniqueName="[Temperature]" displayFolder="" count="0" memberValueDatatype="5" unbalanced="0"/>
    <cacheHierarchy uniqueName="[Transportation].[City]" caption="City" attribute="1" defaultMemberUniqueName="[Transportation].[City].[All]" allUniqueName="[Transportation].[City].[All]" dimensionUniqueName="[Transportation]" displayFolder="" count="2" memberValueDatatype="130" unbalanced="0">
      <fieldsUsage count="2">
        <fieldUsage x="-1"/>
        <fieldUsage x="0"/>
      </fieldsUsage>
    </cacheHierarchy>
    <cacheHierarchy uniqueName="[Transportation].[Transit Score]" caption="Transit Score" attribute="1" defaultMemberUniqueName="[Transportation].[Transit Score].[All]" allUniqueName="[Transportation].[Transit Score].[All]" dimensionUniqueName="[Transportation]" displayFolder="" count="0" memberValueDatatype="20" unbalanced="0"/>
    <cacheHierarchy uniqueName="[Measures].[__XL_Count Tax]" caption="__XL_Count Tax" measure="1" displayFolder="" measureGroup="Tax" count="0" hidden="1"/>
    <cacheHierarchy uniqueName="[Measures].[__XL_Count Cost_of_living]" caption="__XL_Count Cost_of_living" measure="1" displayFolder="" measureGroup="Cost_of_living" count="0" hidden="1"/>
    <cacheHierarchy uniqueName="[Measures].[__XL_Count Healthcare]" caption="__XL_Count Healthcare" measure="1" displayFolder="" measureGroup="Healthcare" count="0" hidden="1"/>
    <cacheHierarchy uniqueName="[Measures].[__XL_Count Safety_Rate]" caption="__XL_Count Safety_Rate" measure="1" displayFolder="" measureGroup="Safety_Rate" count="0" hidden="1"/>
    <cacheHierarchy uniqueName="[Measures].[__XL_Count Temperature]" caption="__XL_Count Temperature" measure="1" displayFolder="" measureGroup="Temperature" count="0" hidden="1"/>
    <cacheHierarchy uniqueName="[Measures].[__XL_Count Transportation]" caption="__XL_Count Transportation" measure="1" displayFolder="" measureGroup="Transportation" count="0" hidden="1"/>
    <cacheHierarchy uniqueName="[Measures].[__XL_Count Temp]" caption="__XL_Count Temp" measure="1" displayFolder="" measureGroup="Temp" count="0" hidden="1"/>
    <cacheHierarchy uniqueName="[Measures].[__No measures defined]" caption="__No measures defined" measure="1" displayFolder="" count="0" hidden="1"/>
    <cacheHierarchy uniqueName="[Measures].[Sum of Overall Monthly Cost (USD)]" caption="Sum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Sum of Healthcare Quality (Rating)]" caption="Sum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Sum of Tax Rates (avg. %)]" caption="Sum of Tax Rates (avg. %)" measure="1" displayFolder="" measureGroup="Tax" count="0" hidden="1">
      <extLst>
        <ext xmlns:x15="http://schemas.microsoft.com/office/spreadsheetml/2010/11/main" uri="{B97F6D7D-B522-45F9-BDA1-12C45D357490}">
          <x15:cacheHierarchy aggregatedColumn="15"/>
        </ext>
      </extLst>
    </cacheHierarchy>
    <cacheHierarchy uniqueName="[Measures].[Sum of Crime Rate (per 100,000)]" caption="Sum of Crime Rate (per 100,000)" measure="1" displayFolder="" measureGroup="Safety_Rate" count="0" hidden="1">
      <extLst>
        <ext xmlns:x15="http://schemas.microsoft.com/office/spreadsheetml/2010/11/main" uri="{B97F6D7D-B522-45F9-BDA1-12C45D357490}">
          <x15:cacheHierarchy aggregatedColumn="11"/>
        </ext>
      </extLst>
    </cacheHierarchy>
    <cacheHierarchy uniqueName="[Measures].[Sum of Safety Score (out of 100)]" caption="Sum of Safety Score (out of 100)" measure="1" displayFolder="" measureGroup="Safety_Rate" count="0" hidden="1">
      <extLst>
        <ext xmlns:x15="http://schemas.microsoft.com/office/spreadsheetml/2010/11/main" uri="{B97F6D7D-B522-45F9-BDA1-12C45D357490}">
          <x15:cacheHierarchy aggregatedColumn="12"/>
        </ext>
      </extLst>
    </cacheHierarchy>
    <cacheHierarchy uniqueName="[Measures].[Sum of Average (°F)]" caption="Sum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Low]" caption="Sum of Low" measure="1" displayFolder="" measureGroup="Temperature" count="0" hidden="1">
      <extLst>
        <ext xmlns:x15="http://schemas.microsoft.com/office/spreadsheetml/2010/11/main" uri="{B97F6D7D-B522-45F9-BDA1-12C45D357490}">
          <x15:cacheHierarchy aggregatedColumn="23"/>
        </ext>
      </extLst>
    </cacheHierarchy>
    <cacheHierarchy uniqueName="[Measures].[Count of Overall Monthly Cost (USD)]" caption="Count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Average of Healthcare Quality (Rating)]" caption="Average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Max of Overall Monthly Cost (USD)]" caption="Max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Min of Overall Monthly Cost (USD)]" caption="Min of Overall Monthly Cost (USD)" measure="1" displayFolder="" measureGroup="Cost_of_living" count="0" hidden="1">
      <extLst>
        <ext xmlns:x15="http://schemas.microsoft.com/office/spreadsheetml/2010/11/main" uri="{B97F6D7D-B522-45F9-BDA1-12C45D357490}">
          <x15:cacheHierarchy aggregatedColumn="5"/>
        </ext>
      </extLst>
    </cacheHierarchy>
    <cacheHierarchy uniqueName="[Measures].[Max of Healthcare Quality (Rating)]" caption="Max of Healthcare Quality (Rating)" measure="1" displayFolder="" measureGroup="Healthcare" count="0" hidden="1">
      <extLst>
        <ext xmlns:x15="http://schemas.microsoft.com/office/spreadsheetml/2010/11/main" uri="{B97F6D7D-B522-45F9-BDA1-12C45D357490}">
          <x15:cacheHierarchy aggregatedColumn="8"/>
        </ext>
      </extLst>
    </cacheHierarchy>
    <cacheHierarchy uniqueName="[Measures].[Count of Transit Score]" caption="Count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Sum of Transit Score]" caption="Sum of Transit Score" measure="1" displayFolder="" measureGroup="Transportation" count="0" oneField="1" hidden="1">
      <fieldsUsage count="1">
        <fieldUsage x="1"/>
      </fieldsUsage>
      <extLst>
        <ext xmlns:x15="http://schemas.microsoft.com/office/spreadsheetml/2010/11/main" uri="{B97F6D7D-B522-45F9-BDA1-12C45D357490}">
          <x15:cacheHierarchy aggregatedColumn="26"/>
        </ext>
      </extLst>
    </cacheHierarchy>
    <cacheHierarchy uniqueName="[Measures].[Max of Transit Score]" caption="Max of Transit Score" measure="1" displayFolder="" measureGroup="Transportation" count="0" hidden="1">
      <extLst>
        <ext xmlns:x15="http://schemas.microsoft.com/office/spreadsheetml/2010/11/main" uri="{B97F6D7D-B522-45F9-BDA1-12C45D357490}">
          <x15:cacheHierarchy aggregatedColumn="26"/>
        </ext>
      </extLst>
    </cacheHierarchy>
    <cacheHierarchy uniqueName="[Measures].[Count of Rating]" caption="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Distinct Count of Rating]" caption="Distinct Count of Rating" measure="1" displayFolder="" measureGroup="Safety_Rate" count="0" hidden="1">
      <extLst>
        <ext xmlns:x15="http://schemas.microsoft.com/office/spreadsheetml/2010/11/main" uri="{B97F6D7D-B522-45F9-BDA1-12C45D357490}">
          <x15:cacheHierarchy aggregatedColumn="13"/>
        </ext>
      </extLst>
    </cacheHierarchy>
    <cacheHierarchy uniqueName="[Measures].[Min of Tax Rates (avg. %)]" caption="Min of Tax Rates (avg. %)" measure="1" displayFolder="" measureGroup="Tax" count="0" hidden="1">
      <extLst>
        <ext xmlns:x15="http://schemas.microsoft.com/office/spreadsheetml/2010/11/main" uri="{B97F6D7D-B522-45F9-BDA1-12C45D357490}">
          <x15:cacheHierarchy aggregatedColumn="15"/>
        </ext>
      </extLst>
    </cacheHierarchy>
    <cacheHierarchy uniqueName="[Measures].[Max of Average (°F)]" caption="Max of Average (°F)" measure="1" displayFolder="" measureGroup="Temperature" count="0" hidden="1">
      <extLst>
        <ext xmlns:x15="http://schemas.microsoft.com/office/spreadsheetml/2010/11/main" uri="{B97F6D7D-B522-45F9-BDA1-12C45D357490}">
          <x15:cacheHierarchy aggregatedColumn="24"/>
        </ext>
      </extLst>
    </cacheHierarchy>
    <cacheHierarchy uniqueName="[Measures].[Sum of Average (°F) 2]" caption="Sum of Average (°F) 2" measure="1" displayFolder="" measureGroup="Temp" count="0" hidden="1">
      <extLst>
        <ext xmlns:x15="http://schemas.microsoft.com/office/spreadsheetml/2010/11/main" uri="{B97F6D7D-B522-45F9-BDA1-12C45D357490}">
          <x15:cacheHierarchy aggregatedColumn="17"/>
        </ext>
      </extLst>
    </cacheHierarchy>
    <cacheHierarchy uniqueName="[Measures].[Max of Average (°F) 2]" caption="Max of Average (°F) 2" measure="1" displayFolder="" measureGroup="Temp" count="0" hidden="1">
      <extLst>
        <ext xmlns:x15="http://schemas.microsoft.com/office/spreadsheetml/2010/11/main" uri="{B97F6D7D-B522-45F9-BDA1-12C45D357490}">
          <x15:cacheHierarchy aggregatedColumn="17"/>
        </ext>
      </extLst>
    </cacheHierarchy>
    <cacheHierarchy uniqueName="[Measures].[Max of Safety Score (out of 100)]" caption="Max of Safety Score (out of 100)" measure="1" displayFolder="" measureGroup="Safety_Rate" count="0" hidden="1">
      <extLst>
        <ext xmlns:x15="http://schemas.microsoft.com/office/spreadsheetml/2010/11/main" uri="{B97F6D7D-B522-45F9-BDA1-12C45D357490}">
          <x15:cacheHierarchy aggregatedColumn="12"/>
        </ext>
      </extLst>
    </cacheHierarchy>
    <cacheHierarchy uniqueName="[Measures].[Sum of Monthly Housing (USD)]" caption="Sum of Monthly Housing (USD)" measure="1" displayFolder="" measureGroup="Cost_of_living" count="0" hidden="1">
      <extLst>
        <ext xmlns:x15="http://schemas.microsoft.com/office/spreadsheetml/2010/11/main" uri="{B97F6D7D-B522-45F9-BDA1-12C45D357490}">
          <x15:cacheHierarchy aggregatedColumn="1"/>
        </ext>
      </extLst>
    </cacheHierarchy>
  </cacheHierarchies>
  <kpis count="0"/>
  <dimensions count="8">
    <dimension name="Cost_of_living" uniqueName="[Cost_of_living]" caption="Cost_of_living"/>
    <dimension name="Healthcare" uniqueName="[Healthcare]" caption="Healthcare"/>
    <dimension measure="1" name="Measures" uniqueName="[Measures]" caption="Measures"/>
    <dimension name="Safety_Rate" uniqueName="[Safety_Rate]" caption="Safety_Rate"/>
    <dimension name="Tax" uniqueName="[Tax]" caption="Tax"/>
    <dimension name="Temp" uniqueName="[Temp]" caption="Temp"/>
    <dimension name="Temperature" uniqueName="[Temperature]" caption="Temperature"/>
    <dimension name="Transportation" uniqueName="[Transportation]" caption="Transportation"/>
  </dimensions>
  <measureGroups count="7">
    <measureGroup name="Cost_of_living" caption="Cost_of_living"/>
    <measureGroup name="Healthcare" caption="Healthcare"/>
    <measureGroup name="Safety_Rate" caption="Safety_Rate"/>
    <measureGroup name="Tax" caption="Tax"/>
    <measureGroup name="Temp" caption="Temp"/>
    <measureGroup name="Temperature" caption="Temperature"/>
    <measureGroup name="Transportation" caption="Transportation"/>
  </measureGroups>
  <maps count="21">
    <map measureGroup="0" dimension="0"/>
    <map measureGroup="1" dimension="0"/>
    <map measureGroup="1" dimension="1"/>
    <map measureGroup="1" dimension="4"/>
    <map measureGroup="1" dimension="6"/>
    <map measureGroup="2" dimension="0"/>
    <map measureGroup="2" dimension="3"/>
    <map measureGroup="2" dimension="4"/>
    <map measureGroup="2" dimension="6"/>
    <map measureGroup="3" dimension="0"/>
    <map measureGroup="3" dimension="4"/>
    <map measureGroup="3" dimension="6"/>
    <map measureGroup="4" dimension="0"/>
    <map measureGroup="4" dimension="4"/>
    <map measureGroup="4" dimension="5"/>
    <map measureGroup="4" dimension="6"/>
    <map measureGroup="5" dimension="6"/>
    <map measureGroup="6" dimension="0"/>
    <map measureGroup="6" dimension="4"/>
    <map measureGroup="6" dimension="6"/>
    <map measureGroup="6" dimension="7"/>
  </maps>
  <extLst>
    <ext xmlns:x14="http://schemas.microsoft.com/office/spreadsheetml/2009/9/main" uri="{725AE2AE-9491-48be-B2B4-4EB974FC3084}">
      <x14:pivotCacheDefinition pivotCacheId="203144648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n v="0.04"/>
  </r>
  <r>
    <x v="1"/>
    <n v="0.04"/>
  </r>
  <r>
    <x v="2"/>
    <n v="0.05"/>
  </r>
  <r>
    <x v="3"/>
    <n v="0.05"/>
  </r>
  <r>
    <x v="4"/>
    <n v="0.05"/>
  </r>
  <r>
    <x v="5"/>
    <n v="0.05"/>
  </r>
  <r>
    <x v="6"/>
    <n v="0.05"/>
  </r>
  <r>
    <x v="7"/>
    <n v="0.06"/>
  </r>
  <r>
    <x v="8"/>
    <n v="0.06"/>
  </r>
  <r>
    <x v="9"/>
    <n v="0.06"/>
  </r>
  <r>
    <x v="10"/>
    <n v="0.06"/>
  </r>
  <r>
    <x v="11"/>
    <n v="0.06"/>
  </r>
  <r>
    <x v="12"/>
    <n v="0.06"/>
  </r>
  <r>
    <x v="13"/>
    <n v="0.06"/>
  </r>
  <r>
    <x v="14"/>
    <n v="7.0000000000000007E-2"/>
  </r>
  <r>
    <x v="15"/>
    <n v="7.0000000000000007E-2"/>
  </r>
  <r>
    <x v="16"/>
    <n v="0.08"/>
  </r>
  <r>
    <x v="17"/>
    <n v="0.09"/>
  </r>
  <r>
    <x v="18"/>
    <n v="0.09"/>
  </r>
  <r>
    <x v="19"/>
    <n v="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D37B06-7D34-41B9-9436-7624A4BC7508}" name="PivotChartTable1" cacheId="81" applyNumberFormats="0" applyBorderFormats="0" applyFontFormats="0" applyPatternFormats="0" applyAlignmentFormats="0" applyWidthHeightFormats="1" dataCaption="Values" updatedVersion="8" minRefreshableVersion="3" useAutoFormatting="1" subtotalHiddenItems="1" itemPrintTitles="1" createdVersion="5" indent="0" outline="1" outlineData="1" multipleFieldFilters="0" chartFormat="17">
  <location ref="A1:B6"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Transit Score"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58">
    <pivotHierarchy multipleItemSelectionAllowed="1" dragToData="1">
      <members count="4" level="1">
        <member name="[Cost_of_living].[City].&amp;[San Francisco, CA]"/>
        <member name="[Cost_of_living].[City].&amp;[Seattle, WA]"/>
        <member name="[Cost_of_living].[City].&amp;[Tallahassee, FL]"/>
        <member name="[Cost_of_living].[City].&amp;[Washington, D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1" cacheId="2031446481">
        <x15:pivotRow count="1">
          <x15:c>
            <x15:v>80</x15:v>
          </x15:c>
        </x15:pivotRow>
        <x15:pivotRow count="1">
          <x15:c>
            <x15:v>70</x15:v>
          </x15:c>
        </x15:pivotRow>
        <x15:pivotRow count="1">
          <x15:c>
            <x15:v>30</x15:v>
          </x15:c>
        </x15:pivotRow>
        <x15:pivotRow count="1">
          <x15:c>
            <x15:v>85</x15:v>
          </x15:c>
        </x15:pivotRow>
        <x15:pivotRow count="1">
          <x15:c>
            <x15:v>265</x15:v>
          </x15:c>
        </x15:pivotRow>
      </x15:pivotTableData>
    </ext>
    <ext xmlns:x15="http://schemas.microsoft.com/office/spreadsheetml/2010/11/main" uri="{E67621CE-5B39-4880-91FE-76760E9C1902}">
      <x15:pivotTableUISettings>
        <x15:activeTabTopLevelEntity name="[Transportation]"/>
        <x15:activeTabTopLevelEntity name="[Cost_of_liv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A4820F-5F69-4273-8486-CF8C5B466499}" name="PivotTable2" cacheId="69" applyNumberFormats="0" applyBorderFormats="0" applyFontFormats="0" applyPatternFormats="0" applyAlignmentFormats="0" applyWidthHeightFormats="1" dataCaption="Values" tag="53e208ec-ab34-4f6a-a6de-954b57dcb8ba" updatedVersion="8" minRefreshableVersion="3" useAutoFormatting="1" subtotalHiddenItems="1" rowGrandTotals="0" colGrandTotals="0" itemPrintTitles="1" createdVersion="8" indent="0" compact="0" compactData="0" multipleFieldFilters="0" chartFormat="4">
  <location ref="C25:F29" firstHeaderRow="0" firstDataRow="1" firstDataCol="1"/>
  <pivotFields count="4">
    <pivotField axis="axisRow" compact="0" allDrilled="1" outline="0" subtotalTop="0" showAll="0" dataSourceSort="1" defaultSubtotal="0" defaultAttributeDrillState="1">
      <items count="4">
        <item s="1" x="0"/>
        <item s="1" x="1"/>
        <item s="1" x="2"/>
        <item s="1" x="3"/>
      </items>
    </pivotField>
    <pivotField dataField="1" compact="0" outline="0" subtotalTop="0" showAll="0" defaultSubtotal="0"/>
    <pivotField dataField="1" compact="0" outline="0" subtotalTop="0" showAll="0" defaultSubtotal="0"/>
    <pivotField dataField="1" compact="0" outline="0" subtotalTop="0" showAll="0" defaultSubtotal="0"/>
  </pivotFields>
  <rowFields count="1">
    <field x="0"/>
  </rowFields>
  <rowItems count="4">
    <i>
      <x/>
    </i>
    <i>
      <x v="1"/>
    </i>
    <i>
      <x v="2"/>
    </i>
    <i>
      <x v="3"/>
    </i>
  </rowItems>
  <colFields count="1">
    <field x="-2"/>
  </colFields>
  <colItems count="3">
    <i>
      <x/>
    </i>
    <i i="1">
      <x v="1"/>
    </i>
    <i i="2">
      <x v="2"/>
    </i>
  </colItems>
  <dataFields count="3">
    <dataField name="Monthly Cost (USD)" fld="2" subtotal="min" baseField="0" baseItem="0"/>
    <dataField name="Healthcare Quality (Rating)" fld="1" subtotal="max" baseField="0" baseItem="1"/>
    <dataField name="Safety Score (out of 100)" fld="3" subtotal="max" baseField="0" baseItem="0"/>
  </dataFields>
  <formats count="119">
    <format dxfId="750">
      <pivotArea type="all" dataOnly="0" outline="0" fieldPosition="0"/>
    </format>
    <format dxfId="749">
      <pivotArea outline="0" collapsedLevelsAreSubtotals="1" fieldPosition="0"/>
    </format>
    <format dxfId="748">
      <pivotArea field="0" type="button" dataOnly="0" labelOnly="1" outline="0" axis="axisRow" fieldPosition="0"/>
    </format>
    <format dxfId="747">
      <pivotArea dataOnly="0" labelOnly="1" outline="0" fieldPosition="0">
        <references count="1">
          <reference field="0" count="0"/>
        </references>
      </pivotArea>
    </format>
    <format dxfId="746">
      <pivotArea dataOnly="0" labelOnly="1" grandRow="1" outline="0" fieldPosition="0"/>
    </format>
    <format dxfId="745">
      <pivotArea dataOnly="0" labelOnly="1" outline="0" fieldPosition="0">
        <references count="1">
          <reference field="4294967294" count="3">
            <x v="0"/>
            <x v="1"/>
            <x v="2"/>
          </reference>
        </references>
      </pivotArea>
    </format>
    <format dxfId="744">
      <pivotArea type="all" dataOnly="0" outline="0" fieldPosition="0"/>
    </format>
    <format dxfId="743">
      <pivotArea outline="0" collapsedLevelsAreSubtotals="1" fieldPosition="0"/>
    </format>
    <format dxfId="742">
      <pivotArea field="0" type="button" dataOnly="0" labelOnly="1" outline="0" axis="axisRow" fieldPosition="0"/>
    </format>
    <format dxfId="741">
      <pivotArea dataOnly="0" labelOnly="1" outline="0" fieldPosition="0">
        <references count="1">
          <reference field="0" count="0"/>
        </references>
      </pivotArea>
    </format>
    <format dxfId="740">
      <pivotArea dataOnly="0" labelOnly="1" grandRow="1" outline="0" fieldPosition="0"/>
    </format>
    <format dxfId="739">
      <pivotArea dataOnly="0" labelOnly="1" outline="0" fieldPosition="0">
        <references count="1">
          <reference field="4294967294" count="3">
            <x v="0"/>
            <x v="1"/>
            <x v="2"/>
          </reference>
        </references>
      </pivotArea>
    </format>
    <format dxfId="738">
      <pivotArea type="all" dataOnly="0" outline="0" fieldPosition="0"/>
    </format>
    <format dxfId="737">
      <pivotArea outline="0" collapsedLevelsAreSubtotals="1" fieldPosition="0"/>
    </format>
    <format dxfId="736">
      <pivotArea field="0" type="button" dataOnly="0" labelOnly="1" outline="0" axis="axisRow" fieldPosition="0"/>
    </format>
    <format dxfId="735">
      <pivotArea dataOnly="0" labelOnly="1" outline="0" fieldPosition="0">
        <references count="1">
          <reference field="0" count="0"/>
        </references>
      </pivotArea>
    </format>
    <format dxfId="734">
      <pivotArea dataOnly="0" labelOnly="1" grandRow="1" outline="0" fieldPosition="0"/>
    </format>
    <format dxfId="733">
      <pivotArea dataOnly="0" labelOnly="1" outline="0" fieldPosition="0">
        <references count="1">
          <reference field="4294967294" count="3">
            <x v="0"/>
            <x v="1"/>
            <x v="2"/>
          </reference>
        </references>
      </pivotArea>
    </format>
    <format dxfId="732">
      <pivotArea type="all" dataOnly="0" outline="0" fieldPosition="0"/>
    </format>
    <format dxfId="731">
      <pivotArea outline="0" collapsedLevelsAreSubtotals="1" fieldPosition="0"/>
    </format>
    <format dxfId="730">
      <pivotArea field="0" type="button" dataOnly="0" labelOnly="1" outline="0" axis="axisRow" fieldPosition="0"/>
    </format>
    <format dxfId="729">
      <pivotArea dataOnly="0" labelOnly="1" outline="0" fieldPosition="0">
        <references count="1">
          <reference field="0" count="0"/>
        </references>
      </pivotArea>
    </format>
    <format dxfId="728">
      <pivotArea dataOnly="0" labelOnly="1" grandRow="1" outline="0" fieldPosition="0"/>
    </format>
    <format dxfId="727">
      <pivotArea dataOnly="0" labelOnly="1" outline="0" fieldPosition="0">
        <references count="1">
          <reference field="4294967294" count="3">
            <x v="0"/>
            <x v="1"/>
            <x v="2"/>
          </reference>
        </references>
      </pivotArea>
    </format>
    <format dxfId="726">
      <pivotArea type="all" dataOnly="0" outline="0" fieldPosition="0"/>
    </format>
    <format dxfId="725">
      <pivotArea outline="0" collapsedLevelsAreSubtotals="1" fieldPosition="0"/>
    </format>
    <format dxfId="724">
      <pivotArea field="0" type="button" dataOnly="0" labelOnly="1" outline="0" axis="axisRow" fieldPosition="0"/>
    </format>
    <format dxfId="723">
      <pivotArea dataOnly="0" labelOnly="1" outline="0" fieldPosition="0">
        <references count="1">
          <reference field="0" count="0"/>
        </references>
      </pivotArea>
    </format>
    <format dxfId="722">
      <pivotArea dataOnly="0" labelOnly="1" outline="0" fieldPosition="0">
        <references count="1">
          <reference field="4294967294" count="3">
            <x v="0"/>
            <x v="1"/>
            <x v="2"/>
          </reference>
        </references>
      </pivotArea>
    </format>
    <format dxfId="721">
      <pivotArea type="all" dataOnly="0" outline="0" fieldPosition="0"/>
    </format>
    <format dxfId="720">
      <pivotArea outline="0" collapsedLevelsAreSubtotals="1" fieldPosition="0"/>
    </format>
    <format dxfId="719">
      <pivotArea field="0" type="button" dataOnly="0" labelOnly="1" outline="0" axis="axisRow" fieldPosition="0"/>
    </format>
    <format dxfId="718">
      <pivotArea dataOnly="0" labelOnly="1" outline="0" fieldPosition="0">
        <references count="1">
          <reference field="0" count="0"/>
        </references>
      </pivotArea>
    </format>
    <format dxfId="717">
      <pivotArea dataOnly="0" labelOnly="1" outline="0" fieldPosition="0">
        <references count="1">
          <reference field="4294967294" count="3">
            <x v="0"/>
            <x v="1"/>
            <x v="2"/>
          </reference>
        </references>
      </pivotArea>
    </format>
    <format dxfId="716">
      <pivotArea type="all" dataOnly="0" outline="0" fieldPosition="0"/>
    </format>
    <format dxfId="715">
      <pivotArea outline="0" collapsedLevelsAreSubtotals="1" fieldPosition="0"/>
    </format>
    <format dxfId="714">
      <pivotArea field="0" type="button" dataOnly="0" labelOnly="1" outline="0" axis="axisRow" fieldPosition="0"/>
    </format>
    <format dxfId="713">
      <pivotArea dataOnly="0" labelOnly="1" outline="0" fieldPosition="0">
        <references count="1">
          <reference field="0" count="0"/>
        </references>
      </pivotArea>
    </format>
    <format dxfId="712">
      <pivotArea dataOnly="0" labelOnly="1" outline="0" fieldPosition="0">
        <references count="1">
          <reference field="4294967294" count="3">
            <x v="0"/>
            <x v="1"/>
            <x v="2"/>
          </reference>
        </references>
      </pivotArea>
    </format>
    <format dxfId="711">
      <pivotArea type="all" dataOnly="0" outline="0" fieldPosition="0"/>
    </format>
    <format dxfId="710">
      <pivotArea outline="0" collapsedLevelsAreSubtotals="1" fieldPosition="0"/>
    </format>
    <format dxfId="709">
      <pivotArea field="0" type="button" dataOnly="0" labelOnly="1" outline="0" axis="axisRow" fieldPosition="0"/>
    </format>
    <format dxfId="708">
      <pivotArea dataOnly="0" labelOnly="1" outline="0" fieldPosition="0">
        <references count="1">
          <reference field="0" count="0"/>
        </references>
      </pivotArea>
    </format>
    <format dxfId="707">
      <pivotArea dataOnly="0" labelOnly="1" outline="0" fieldPosition="0">
        <references count="1">
          <reference field="4294967294" count="3">
            <x v="0"/>
            <x v="1"/>
            <x v="2"/>
          </reference>
        </references>
      </pivotArea>
    </format>
    <format dxfId="706">
      <pivotArea type="all" dataOnly="0" outline="0" fieldPosition="0"/>
    </format>
    <format dxfId="705">
      <pivotArea outline="0" collapsedLevelsAreSubtotals="1" fieldPosition="0"/>
    </format>
    <format dxfId="704">
      <pivotArea field="0" type="button" dataOnly="0" labelOnly="1" outline="0" axis="axisRow" fieldPosition="0"/>
    </format>
    <format dxfId="703">
      <pivotArea dataOnly="0" labelOnly="1" outline="0" fieldPosition="0">
        <references count="1">
          <reference field="0" count="0"/>
        </references>
      </pivotArea>
    </format>
    <format dxfId="702">
      <pivotArea dataOnly="0" labelOnly="1" outline="0" fieldPosition="0">
        <references count="1">
          <reference field="4294967294" count="3">
            <x v="0"/>
            <x v="1"/>
            <x v="2"/>
          </reference>
        </references>
      </pivotArea>
    </format>
    <format dxfId="701">
      <pivotArea type="all" dataOnly="0" outline="0" fieldPosition="0"/>
    </format>
    <format dxfId="700">
      <pivotArea outline="0" collapsedLevelsAreSubtotals="1" fieldPosition="0"/>
    </format>
    <format dxfId="699">
      <pivotArea field="0" type="button" dataOnly="0" labelOnly="1" outline="0" axis="axisRow" fieldPosition="0"/>
    </format>
    <format dxfId="698">
      <pivotArea dataOnly="0" labelOnly="1" outline="0" fieldPosition="0">
        <references count="1">
          <reference field="0" count="0"/>
        </references>
      </pivotArea>
    </format>
    <format dxfId="697">
      <pivotArea dataOnly="0" labelOnly="1" outline="0" fieldPosition="0">
        <references count="1">
          <reference field="4294967294" count="3">
            <x v="0"/>
            <x v="1"/>
            <x v="2"/>
          </reference>
        </references>
      </pivotArea>
    </format>
    <format dxfId="696">
      <pivotArea type="all" dataOnly="0" outline="0" fieldPosition="0"/>
    </format>
    <format dxfId="695">
      <pivotArea outline="0" collapsedLevelsAreSubtotals="1" fieldPosition="0"/>
    </format>
    <format dxfId="694">
      <pivotArea field="0" type="button" dataOnly="0" labelOnly="1" outline="0" axis="axisRow" fieldPosition="0"/>
    </format>
    <format dxfId="693">
      <pivotArea dataOnly="0" labelOnly="1" outline="0" fieldPosition="0">
        <references count="1">
          <reference field="0" count="0"/>
        </references>
      </pivotArea>
    </format>
    <format dxfId="692">
      <pivotArea dataOnly="0" labelOnly="1" outline="0" fieldPosition="0">
        <references count="1">
          <reference field="4294967294" count="3">
            <x v="0"/>
            <x v="1"/>
            <x v="2"/>
          </reference>
        </references>
      </pivotArea>
    </format>
    <format dxfId="691">
      <pivotArea type="all" dataOnly="0" outline="0" fieldPosition="0"/>
    </format>
    <format dxfId="690">
      <pivotArea outline="0" collapsedLevelsAreSubtotals="1" fieldPosition="0"/>
    </format>
    <format dxfId="689">
      <pivotArea field="0" type="button" dataOnly="0" labelOnly="1" outline="0" axis="axisRow" fieldPosition="0"/>
    </format>
    <format dxfId="688">
      <pivotArea dataOnly="0" labelOnly="1" outline="0" fieldPosition="0">
        <references count="1">
          <reference field="0" count="0"/>
        </references>
      </pivotArea>
    </format>
    <format dxfId="687">
      <pivotArea dataOnly="0" labelOnly="1" outline="0" fieldPosition="0">
        <references count="1">
          <reference field="4294967294" count="3">
            <x v="0"/>
            <x v="1"/>
            <x v="2"/>
          </reference>
        </references>
      </pivotArea>
    </format>
    <format dxfId="686">
      <pivotArea type="all" dataOnly="0" outline="0" fieldPosition="0"/>
    </format>
    <format dxfId="685">
      <pivotArea outline="0" collapsedLevelsAreSubtotals="1" fieldPosition="0"/>
    </format>
    <format dxfId="684">
      <pivotArea field="0" type="button" dataOnly="0" labelOnly="1" outline="0" axis="axisRow" fieldPosition="0"/>
    </format>
    <format dxfId="683">
      <pivotArea dataOnly="0" labelOnly="1" outline="0" fieldPosition="0">
        <references count="1">
          <reference field="0" count="0"/>
        </references>
      </pivotArea>
    </format>
    <format dxfId="682">
      <pivotArea dataOnly="0" labelOnly="1" outline="0" fieldPosition="0">
        <references count="1">
          <reference field="4294967294" count="3">
            <x v="0"/>
            <x v="1"/>
            <x v="2"/>
          </reference>
        </references>
      </pivotArea>
    </format>
    <format dxfId="681">
      <pivotArea type="all" dataOnly="0" outline="0" fieldPosition="0"/>
    </format>
    <format dxfId="680">
      <pivotArea outline="0" collapsedLevelsAreSubtotals="1" fieldPosition="0"/>
    </format>
    <format dxfId="679">
      <pivotArea field="0" type="button" dataOnly="0" labelOnly="1" outline="0" axis="axisRow" fieldPosition="0"/>
    </format>
    <format dxfId="678">
      <pivotArea dataOnly="0" labelOnly="1" outline="0" fieldPosition="0">
        <references count="1">
          <reference field="0" count="0"/>
        </references>
      </pivotArea>
    </format>
    <format dxfId="677">
      <pivotArea dataOnly="0" labelOnly="1" outline="0" fieldPosition="0">
        <references count="1">
          <reference field="4294967294" count="3">
            <x v="0"/>
            <x v="1"/>
            <x v="2"/>
          </reference>
        </references>
      </pivotArea>
    </format>
    <format dxfId="676">
      <pivotArea type="all" dataOnly="0" outline="0" fieldPosition="0"/>
    </format>
    <format dxfId="675">
      <pivotArea outline="0" collapsedLevelsAreSubtotals="1" fieldPosition="0"/>
    </format>
    <format dxfId="674">
      <pivotArea field="0" type="button" dataOnly="0" labelOnly="1" outline="0" axis="axisRow" fieldPosition="0"/>
    </format>
    <format dxfId="673">
      <pivotArea dataOnly="0" labelOnly="1" outline="0" fieldPosition="0">
        <references count="1">
          <reference field="0" count="0"/>
        </references>
      </pivotArea>
    </format>
    <format dxfId="672">
      <pivotArea dataOnly="0" labelOnly="1" outline="0" fieldPosition="0">
        <references count="1">
          <reference field="4294967294" count="3">
            <x v="0"/>
            <x v="1"/>
            <x v="2"/>
          </reference>
        </references>
      </pivotArea>
    </format>
    <format dxfId="671">
      <pivotArea type="all" dataOnly="0" outline="0" fieldPosition="0"/>
    </format>
    <format dxfId="670">
      <pivotArea outline="0" collapsedLevelsAreSubtotals="1" fieldPosition="0"/>
    </format>
    <format dxfId="669">
      <pivotArea field="0" type="button" dataOnly="0" labelOnly="1" outline="0" axis="axisRow" fieldPosition="0"/>
    </format>
    <format dxfId="668">
      <pivotArea dataOnly="0" labelOnly="1" outline="0" fieldPosition="0">
        <references count="1">
          <reference field="0" count="0"/>
        </references>
      </pivotArea>
    </format>
    <format dxfId="667">
      <pivotArea dataOnly="0" labelOnly="1" outline="0" fieldPosition="0">
        <references count="1">
          <reference field="4294967294" count="3">
            <x v="0"/>
            <x v="1"/>
            <x v="2"/>
          </reference>
        </references>
      </pivotArea>
    </format>
    <format dxfId="666">
      <pivotArea type="all" dataOnly="0" outline="0" fieldPosition="0"/>
    </format>
    <format dxfId="665">
      <pivotArea outline="0" collapsedLevelsAreSubtotals="1" fieldPosition="0"/>
    </format>
    <format dxfId="664">
      <pivotArea field="0" type="button" dataOnly="0" labelOnly="1" outline="0" axis="axisRow" fieldPosition="0"/>
    </format>
    <format dxfId="663">
      <pivotArea dataOnly="0" labelOnly="1" outline="0" fieldPosition="0">
        <references count="1">
          <reference field="0" count="0"/>
        </references>
      </pivotArea>
    </format>
    <format dxfId="662">
      <pivotArea dataOnly="0" labelOnly="1" outline="0" fieldPosition="0">
        <references count="1">
          <reference field="4294967294" count="3">
            <x v="0"/>
            <x v="1"/>
            <x v="2"/>
          </reference>
        </references>
      </pivotArea>
    </format>
    <format dxfId="661">
      <pivotArea type="all" dataOnly="0" outline="0" fieldPosition="0"/>
    </format>
    <format dxfId="660">
      <pivotArea outline="0" collapsedLevelsAreSubtotals="1" fieldPosition="0"/>
    </format>
    <format dxfId="659">
      <pivotArea field="0" type="button" dataOnly="0" labelOnly="1" outline="0" axis="axisRow" fieldPosition="0"/>
    </format>
    <format dxfId="658">
      <pivotArea dataOnly="0" labelOnly="1" outline="0" fieldPosition="0">
        <references count="1">
          <reference field="0" count="0"/>
        </references>
      </pivotArea>
    </format>
    <format dxfId="657">
      <pivotArea dataOnly="0" labelOnly="1" outline="0" fieldPosition="0">
        <references count="1">
          <reference field="4294967294" count="3">
            <x v="0"/>
            <x v="1"/>
            <x v="2"/>
          </reference>
        </references>
      </pivotArea>
    </format>
    <format dxfId="656">
      <pivotArea type="all" dataOnly="0" outline="0" fieldPosition="0"/>
    </format>
    <format dxfId="655">
      <pivotArea outline="0" collapsedLevelsAreSubtotals="1" fieldPosition="0"/>
    </format>
    <format dxfId="654">
      <pivotArea field="0" type="button" dataOnly="0" labelOnly="1" outline="0" axis="axisRow" fieldPosition="0"/>
    </format>
    <format dxfId="653">
      <pivotArea dataOnly="0" labelOnly="1" outline="0" fieldPosition="0">
        <references count="1">
          <reference field="0" count="0"/>
        </references>
      </pivotArea>
    </format>
    <format dxfId="652">
      <pivotArea dataOnly="0" labelOnly="1" outline="0" fieldPosition="0">
        <references count="1">
          <reference field="4294967294" count="3">
            <x v="0"/>
            <x v="1"/>
            <x v="2"/>
          </reference>
        </references>
      </pivotArea>
    </format>
    <format dxfId="651">
      <pivotArea type="all" dataOnly="0" outline="0" fieldPosition="0"/>
    </format>
    <format dxfId="650">
      <pivotArea outline="0" collapsedLevelsAreSubtotals="1" fieldPosition="0"/>
    </format>
    <format dxfId="649">
      <pivotArea field="0" type="button" dataOnly="0" labelOnly="1" outline="0" axis="axisRow" fieldPosition="0"/>
    </format>
    <format dxfId="648">
      <pivotArea dataOnly="0" labelOnly="1" outline="0" fieldPosition="0">
        <references count="1">
          <reference field="0" count="0"/>
        </references>
      </pivotArea>
    </format>
    <format dxfId="647">
      <pivotArea dataOnly="0" labelOnly="1" outline="0" fieldPosition="0">
        <references count="1">
          <reference field="4294967294" count="3">
            <x v="0"/>
            <x v="1"/>
            <x v="2"/>
          </reference>
        </references>
      </pivotArea>
    </format>
    <format dxfId="646">
      <pivotArea type="all" dataOnly="0" outline="0" fieldPosition="0"/>
    </format>
    <format dxfId="645">
      <pivotArea outline="0" collapsedLevelsAreSubtotals="1" fieldPosition="0"/>
    </format>
    <format dxfId="644">
      <pivotArea field="0" type="button" dataOnly="0" labelOnly="1" outline="0" axis="axisRow" fieldPosition="0"/>
    </format>
    <format dxfId="643">
      <pivotArea dataOnly="0" labelOnly="1" outline="0" fieldPosition="0">
        <references count="1">
          <reference field="0" count="0"/>
        </references>
      </pivotArea>
    </format>
    <format dxfId="642">
      <pivotArea dataOnly="0" labelOnly="1" outline="0" fieldPosition="0">
        <references count="1">
          <reference field="4294967294" count="3">
            <x v="0"/>
            <x v="1"/>
            <x v="2"/>
          </reference>
        </references>
      </pivotArea>
    </format>
    <format dxfId="641">
      <pivotArea type="all" dataOnly="0" outline="0" fieldPosition="0"/>
    </format>
    <format dxfId="640">
      <pivotArea outline="0" collapsedLevelsAreSubtotals="1" fieldPosition="0"/>
    </format>
    <format dxfId="639">
      <pivotArea field="0" type="button" dataOnly="0" labelOnly="1" outline="0" axis="axisRow" fieldPosition="0"/>
    </format>
    <format dxfId="638">
      <pivotArea dataOnly="0" labelOnly="1" outline="0" fieldPosition="0">
        <references count="1">
          <reference field="0" count="0"/>
        </references>
      </pivotArea>
    </format>
    <format dxfId="637">
      <pivotArea dataOnly="0" labelOnly="1" outline="0" fieldPosition="0">
        <references count="1">
          <reference field="4294967294" count="3">
            <x v="0"/>
            <x v="1"/>
            <x v="2"/>
          </reference>
        </references>
      </pivotArea>
    </format>
    <format dxfId="636">
      <pivotArea type="all" dataOnly="0" outline="0" fieldPosition="0"/>
    </format>
    <format dxfId="635">
      <pivotArea outline="0" collapsedLevelsAreSubtotals="1" fieldPosition="0"/>
    </format>
    <format dxfId="634">
      <pivotArea field="0" type="button" dataOnly="0" labelOnly="1" outline="0" axis="axisRow" fieldPosition="0"/>
    </format>
    <format dxfId="633">
      <pivotArea dataOnly="0" labelOnly="1" outline="0" fieldPosition="0">
        <references count="1">
          <reference field="0" count="0"/>
        </references>
      </pivotArea>
    </format>
    <format dxfId="632">
      <pivotArea dataOnly="0" labelOnly="1" outline="0" fieldPosition="0">
        <references count="1">
          <reference field="4294967294" count="3">
            <x v="0"/>
            <x v="1"/>
            <x v="2"/>
          </reference>
        </references>
      </pivotArea>
    </format>
  </formats>
  <pivotHierarchies count="58">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um of Overall Monthly Cost (USD)"/>
    <pivotHierarchy dragToData="1"/>
    <pivotHierarchy dragToData="1"/>
    <pivotHierarchy dragToData="1"/>
    <pivotHierarchy dragToData="1"/>
    <pivotHierarchy dragToData="1"/>
    <pivotHierarchy dragToData="1"/>
    <pivotHierarchy dragToData="1" caption="Count of Overall Monthly Cost (USD)"/>
    <pivotHierarchy dragToData="1" caption="Average of Healthcare Quality (Rating)"/>
    <pivotHierarchy dragToData="1" caption="Max of Overall Monthly Cost (USD)"/>
    <pivotHierarchy dragToData="1" caption="Monthly Cost (USD)"/>
    <pivotHierarchy dragToData="1" caption="Healthcare Quality (Rating)"/>
    <pivotHierarchy dragToData="1"/>
    <pivotHierarchy dragToData="1"/>
    <pivotHierarchy dragToData="1" caption="Max of Transit Score"/>
    <pivotHierarchy dragToData="1" caption="Count of Rating"/>
    <pivotHierarchy dragToData="1" caption="Distinct Count of Rating"/>
    <pivotHierarchy dragToData="1" caption="Min of Tax Rates (avg. %)"/>
    <pivotHierarchy dragToData="1"/>
    <pivotHierarchy dragToData="1"/>
    <pivotHierarchy dragToData="1"/>
    <pivotHierarchy dragToData="1" caption="Safety Score (out of 100)"/>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x]"/>
        <x15:activeTabTopLevelEntity name="[Cost_of_living]"/>
        <x15:activeTabTopLevelEntity name="[Healthcare]"/>
        <x15:activeTabTopLevelEntity name="[Safety_Rate]"/>
        <x15:activeTabTopLevelEntity name="[Temperature]"/>
        <x15:activeTabTopLevelEntity name="[Transport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FFBD950-13A8-4567-A613-6F873B7276E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
  <location ref="A26:B47" firstHeaderRow="1" firstDataRow="1" firstDataCol="1"/>
  <pivotFields count="2">
    <pivotField axis="axisRow" showAll="0">
      <items count="21">
        <item x="12"/>
        <item x="6"/>
        <item x="11"/>
        <item x="9"/>
        <item x="5"/>
        <item x="8"/>
        <item x="13"/>
        <item x="2"/>
        <item x="3"/>
        <item x="14"/>
        <item x="1"/>
        <item x="0"/>
        <item x="19"/>
        <item x="4"/>
        <item x="17"/>
        <item x="18"/>
        <item x="15"/>
        <item x="7"/>
        <item x="10"/>
        <item x="16"/>
        <item t="default"/>
      </items>
    </pivotField>
    <pivotField dataField="1" numFmtId="9" showAll="0"/>
  </pivotFields>
  <rowFields count="1">
    <field x="0"/>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Min of Tax Rates (avg. %)" fld="1" subtotal="min"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3BC1E5-3353-466D-94B1-C7BBF6ECB844}" name="PivotTable22" cacheId="72" applyNumberFormats="0" applyBorderFormats="0" applyFontFormats="0" applyPatternFormats="0" applyAlignmentFormats="0" applyWidthHeightFormats="1" dataCaption="Values" tag="01900d66-f3eb-457e-a2b5-77687fceae02" updatedVersion="8" minRefreshableVersion="3" useAutoFormatting="1" subtotalHiddenItems="1" itemPrintTitles="1" createdVersion="5" indent="0" outline="1" outlineData="1" multipleFieldFilters="0" chartFormat="18">
  <location ref="E25:F30" firstHeaderRow="1" firstDataRow="1" firstDataCol="1"/>
  <pivotFields count="2">
    <pivotField axis="axisRow" allDrilled="1" subtotalTop="0" showAll="0" dataSourceSort="1" defaultSubtotal="0" defaultAttributeDrillState="1">
      <items count="4">
        <item s="1" x="0"/>
        <item s="1" x="1"/>
        <item s="1" x="2"/>
        <item s="1" x="3"/>
      </items>
    </pivotField>
    <pivotField dataField="1" subtotalTop="0" showAll="0" defaultSubtotal="0"/>
  </pivotFields>
  <rowFields count="1">
    <field x="0"/>
  </rowFields>
  <rowItems count="5">
    <i>
      <x/>
    </i>
    <i>
      <x v="1"/>
    </i>
    <i>
      <x v="2"/>
    </i>
    <i>
      <x v="3"/>
    </i>
    <i t="grand">
      <x/>
    </i>
  </rowItems>
  <colItems count="1">
    <i/>
  </colItems>
  <dataFields count="1">
    <dataField name="Min of Tax Rates (avg. %)" fld="1" subtotal="min" baseField="0" baseItem="0" numFmtId="9"/>
  </dataFields>
  <chartFormats count="1">
    <chartFormat chart="3" format="2" series="1">
      <pivotArea type="data" outline="0" fieldPosition="0">
        <references count="1">
          <reference field="4294967294" count="1" selected="0">
            <x v="0"/>
          </reference>
        </references>
      </pivotArea>
    </chartFormat>
  </chartFormats>
  <pivotHierarchies count="58">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in of Tax Rates (avg. %)"/>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st_of_living]"/>
        <x15:activeTabTopLevelEntity name="[Tax]"/>
        <x15:activeTabTopLevelEntity name="[Temperat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97D58FD-A1BA-46EC-B916-8EAC9828C3D9}" name="PivotTable13" cacheId="7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24:B29" firstHeaderRow="1" firstDataRow="1" firstDataCol="1"/>
  <pivotFields count="2">
    <pivotField axis="axisRow" allDrilled="1" subtotalTop="0" showAll="0" dataSourceSort="1" defaultSubtotal="0" defaultAttributeDrillState="1">
      <items count="4">
        <item s="1" x="0"/>
        <item s="1" x="1"/>
        <item s="1" x="2"/>
        <item s="1" x="3"/>
      </items>
    </pivotField>
    <pivotField dataField="1" subtotalTop="0" showAll="0" defaultSubtotal="0"/>
  </pivotFields>
  <rowFields count="1">
    <field x="0"/>
  </rowFields>
  <rowItems count="5">
    <i>
      <x/>
    </i>
    <i>
      <x v="1"/>
    </i>
    <i>
      <x v="2"/>
    </i>
    <i>
      <x v="3"/>
    </i>
    <i t="grand">
      <x/>
    </i>
  </rowItems>
  <colItems count="1">
    <i/>
  </colItems>
  <dataFields count="1">
    <dataField name="Sum of Monthly Housing (USD)" fld="1" baseField="0" baseItem="0"/>
  </dataFields>
  <pivotHierarchies count="58">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 place to live (1).xlsx!Cost_of_living">
        <x15:activeTabTopLevelEntity name="[Cost_of_liv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86F235D-384D-4E38-83CA-51386299CF05}" name="PivotTable2" cacheId="7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8">
  <location ref="A27:B32" firstHeaderRow="1" firstDataRow="1" firstDataCol="1"/>
  <pivotFields count="3">
    <pivotField allDrilled="1" subtotalTop="0" showAll="0" dataSourceSort="1" defaultSubtotal="0" defaultAttributeDrillState="1"/>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dataField="1" subtotalTop="0" showAll="0" defaultSubtotal="0"/>
  </pivotFields>
  <rowFields count="1">
    <field x="1"/>
  </rowFields>
  <rowItems count="5">
    <i>
      <x/>
    </i>
    <i>
      <x v="1"/>
    </i>
    <i>
      <x v="2"/>
    </i>
    <i>
      <x v="3"/>
    </i>
    <i t="grand">
      <x/>
    </i>
  </rowItems>
  <colItems count="1">
    <i/>
  </colItems>
  <dataFields count="1">
    <dataField name="Max of Average (°F)" fld="2" subtotal="max" baseField="1" baseItem="0"/>
  </dataFields>
  <chartFormats count="19">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1" count="1" selected="0">
            <x v="0"/>
          </reference>
        </references>
      </pivotArea>
    </chartFormat>
    <chartFormat chart="2" format="5">
      <pivotArea type="data" outline="0" fieldPosition="0">
        <references count="2">
          <reference field="4294967294" count="1" selected="0">
            <x v="0"/>
          </reference>
          <reference field="1" count="1" selected="0">
            <x v="5"/>
          </reference>
        </references>
      </pivotArea>
    </chartFormat>
    <chartFormat chart="2" format="6">
      <pivotArea type="data" outline="0" fieldPosition="0">
        <references count="2">
          <reference field="4294967294" count="1" selected="0">
            <x v="0"/>
          </reference>
          <reference field="1" count="1" selected="0">
            <x v="1"/>
          </reference>
        </references>
      </pivotArea>
    </chartFormat>
    <chartFormat chart="2" format="7">
      <pivotArea type="data" outline="0" fieldPosition="0">
        <references count="2">
          <reference field="4294967294" count="1" selected="0">
            <x v="0"/>
          </reference>
          <reference field="1" count="1" selected="0">
            <x v="2"/>
          </reference>
        </references>
      </pivotArea>
    </chartFormat>
    <chartFormat chart="2" format="8">
      <pivotArea type="data" outline="0" fieldPosition="0">
        <references count="2">
          <reference field="4294967294" count="1" selected="0">
            <x v="0"/>
          </reference>
          <reference field="1" count="1" selected="0">
            <x v="9"/>
          </reference>
        </references>
      </pivotArea>
    </chartFormat>
    <chartFormat chart="2" format="9">
      <pivotArea type="data" outline="0" fieldPosition="0">
        <references count="2">
          <reference field="4294967294" count="1" selected="0">
            <x v="0"/>
          </reference>
          <reference field="1" count="1" selected="0">
            <x v="10"/>
          </reference>
        </references>
      </pivotArea>
    </chartFormat>
    <chartFormat chart="2" format="10">
      <pivotArea type="data" outline="0" fieldPosition="0">
        <references count="2">
          <reference field="4294967294" count="1" selected="0">
            <x v="0"/>
          </reference>
          <reference field="1" count="1" selected="0">
            <x v="11"/>
          </reference>
        </references>
      </pivotArea>
    </chartFormat>
    <chartFormat chart="2" format="11">
      <pivotArea type="data" outline="0" fieldPosition="0">
        <references count="2">
          <reference field="4294967294" count="1" selected="0">
            <x v="0"/>
          </reference>
          <reference field="1" count="1" selected="0">
            <x v="8"/>
          </reference>
        </references>
      </pivotArea>
    </chartFormat>
    <chartFormat chart="2" format="12">
      <pivotArea type="data" outline="0" fieldPosition="0">
        <references count="2">
          <reference field="4294967294" count="1" selected="0">
            <x v="0"/>
          </reference>
          <reference field="1" count="1" selected="0">
            <x v="12"/>
          </reference>
        </references>
      </pivotArea>
    </chartFormat>
    <chartFormat chart="2" format="13">
      <pivotArea type="data" outline="0" fieldPosition="0">
        <references count="2">
          <reference field="4294967294" count="1" selected="0">
            <x v="0"/>
          </reference>
          <reference field="1" count="1" selected="0">
            <x v="18"/>
          </reference>
        </references>
      </pivotArea>
    </chartFormat>
    <chartFormat chart="2" format="14">
      <pivotArea type="data" outline="0" fieldPosition="0">
        <references count="2">
          <reference field="4294967294" count="1" selected="0">
            <x v="0"/>
          </reference>
          <reference field="1" count="1" selected="0">
            <x v="16"/>
          </reference>
        </references>
      </pivotArea>
    </chartFormat>
    <chartFormat chart="2" format="15">
      <pivotArea type="data" outline="0" fieldPosition="0">
        <references count="2">
          <reference field="4294967294" count="1" selected="0">
            <x v="0"/>
          </reference>
          <reference field="1" count="1" selected="0">
            <x v="13"/>
          </reference>
        </references>
      </pivotArea>
    </chartFormat>
    <chartFormat chart="2" format="16">
      <pivotArea type="data" outline="0" fieldPosition="0">
        <references count="2">
          <reference field="4294967294" count="1" selected="0">
            <x v="0"/>
          </reference>
          <reference field="1" count="1" selected="0">
            <x v="17"/>
          </reference>
        </references>
      </pivotArea>
    </chartFormat>
    <chartFormat chart="2" format="17">
      <pivotArea type="data" outline="0" fieldPosition="0">
        <references count="2">
          <reference field="4294967294" count="1" selected="0">
            <x v="0"/>
          </reference>
          <reference field="1" count="1" selected="0">
            <x v="15"/>
          </reference>
        </references>
      </pivotArea>
    </chartFormat>
    <chartFormat chart="2" format="18">
      <pivotArea type="data" outline="0" fieldPosition="0">
        <references count="2">
          <reference field="4294967294" count="1" selected="0">
            <x v="0"/>
          </reference>
          <reference field="1" count="1" selected="0">
            <x v="7"/>
          </reference>
        </references>
      </pivotArea>
    </chartFormat>
    <chartFormat chart="2" format="19">
      <pivotArea type="data" outline="0" fieldPosition="0">
        <references count="2">
          <reference field="4294967294" count="1" selected="0">
            <x v="0"/>
          </reference>
          <reference field="1" count="1" selected="0">
            <x v="6"/>
          </reference>
        </references>
      </pivotArea>
    </chartFormat>
    <chartFormat chart="2" format="20">
      <pivotArea type="data" outline="0" fieldPosition="0">
        <references count="2">
          <reference field="4294967294" count="1" selected="0">
            <x v="0"/>
          </reference>
          <reference field="1" count="1" selected="0">
            <x v="4"/>
          </reference>
        </references>
      </pivotArea>
    </chartFormat>
    <chartFormat chart="2" format="21">
      <pivotArea type="data" outline="0" fieldPosition="0">
        <references count="2">
          <reference field="4294967294" count="1" selected="0">
            <x v="0"/>
          </reference>
          <reference field="1" count="1" selected="0">
            <x v="14"/>
          </reference>
        </references>
      </pivotArea>
    </chartFormat>
  </chartFormats>
  <pivotHierarchies count="58">
    <pivotHierarchy multipleItemSelectionAllowed="1" dragToData="1">
      <members count="4" level="1">
        <member name="[Cost_of_living].[City].&amp;[San Francisco, CA]"/>
        <member name="[Cost_of_living].[City].&amp;[Seattle, WA]"/>
        <member name="[Cost_of_living].[City].&amp;[Tallahassee, FL]"/>
        <member name="[Cost_of_living].[City].&amp;[Washington, D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Average (°F)"/>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mp]"/>
        <x15:activeTabTopLevelEntity name="[Cost_of_living]"/>
        <x15:activeTabTopLevelEntity name="[Temperatur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E191F617-37BF-4D39-A9AD-3CB49FD05F9A}" sourceName="[Cost_of_living].[City]">
  <pivotTables>
    <pivotTable tabId="15" name="PivotTable2"/>
    <pivotTable tabId="2" name="PivotTable22"/>
    <pivotTable tabId="9" name="PivotTable2"/>
    <pivotTable tabId="4" name="PivotTable13"/>
  </pivotTables>
  <data>
    <olap pivotCacheId="1785639154">
      <levels count="2">
        <level uniqueName="[Cost_of_living].[City].[(All)]" sourceCaption="(All)" count="0"/>
        <level uniqueName="[Cost_of_living].[City].[City]" sourceCaption="City" count="20">
          <ranges>
            <range startItem="0">
              <i n="[Cost_of_living].[City].&amp;[Atlanta, GA]" c="Atlanta, GA"/>
              <i n="[Cost_of_living].[City].&amp;[Austin, TX]" c="Austin, TX"/>
              <i n="[Cost_of_living].[City].&amp;[Baltimore, MD]" c="Baltimore, MD"/>
              <i n="[Cost_of_living].[City].&amp;[Boulder, CO]" c="Boulder, CO"/>
              <i n="[Cost_of_living].[City].&amp;[Charlotte, NC]" c="Charlotte, NC"/>
              <i n="[Cost_of_living].[City].&amp;[Colorado Springs, CO]" c="Colorado Springs, CO"/>
              <i n="[Cost_of_living].[City].&amp;[Dallas, TX]" c="Dallas, TX"/>
              <i n="[Cost_of_living].[City].&amp;[Des Moines, IA]" c="Des Moines, IA"/>
              <i n="[Cost_of_living].[City].&amp;[Durham-Chapel Hill, NC]" c="Durham-Chapel Hill, NC"/>
              <i n="[Cost_of_living].[City].&amp;[Hartford, CT]" c="Hartford, CT"/>
              <i n="[Cost_of_living].[City].&amp;[Huntsville, AL]" c="Huntsville, AL"/>
              <i n="[Cost_of_living].[City].&amp;[Lansing, MI]" c="Lansing, MI"/>
              <i n="[Cost_of_living].[City].&amp;[New York City, NY]" c="New York City, NY"/>
              <i n="[Cost_of_living].[City].&amp;[Raleigh, NC]" c="Raleigh, NC"/>
              <i n="[Cost_of_living].[City].&amp;[San Francisco, CA]" c="San Francisco, CA"/>
              <i n="[Cost_of_living].[City].&amp;[San Jose, CA]" c="San Jose, CA"/>
              <i n="[Cost_of_living].[City].&amp;[Seattle, WA]" c="Seattle, WA"/>
              <i n="[Cost_of_living].[City].&amp;[Tallahassee, FL]" c="Tallahassee, FL"/>
              <i n="[Cost_of_living].[City].&amp;[Trenton, NJ]" c="Trenton, NJ"/>
              <i n="[Cost_of_living].[City].&amp;[Washington, DC]" c="Washington, DC"/>
            </range>
          </ranges>
        </level>
      </levels>
      <selections count="4">
        <selection n="[Cost_of_living].[City].&amp;[San Francisco, CA]"/>
        <selection n="[Cost_of_living].[City].&amp;[Seattle, WA]"/>
        <selection n="[Cost_of_living].[City].&amp;[Tallahassee, FL]"/>
        <selection n="[Cost_of_living].[City].&amp;[Washington, DC]"/>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934A5DE1-8D8C-4EA4-9970-52FF11F64CED}" cache="Slicer_City" caption="City" level="1" style="Slicer Style 4" rowHeight="24923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6E0902-E74C-4551-AFF2-207F19F3B05F}" name="Tax" displayName="Tax" ref="A1:B21" totalsRowShown="0" headerRowDxfId="631" tableBorderDxfId="630">
  <autoFilter ref="A1:B21" xr:uid="{ED6E0902-E74C-4551-AFF2-207F19F3B05F}"/>
  <sortState xmlns:xlrd2="http://schemas.microsoft.com/office/spreadsheetml/2017/richdata2" ref="A2:B21">
    <sortCondition ref="A1:A21"/>
  </sortState>
  <tableColumns count="2">
    <tableColumn id="1" xr3:uid="{7A5506A5-CADD-452C-B13B-453C6CDB4075}" name="City" dataDxfId="629"/>
    <tableColumn id="2" xr3:uid="{FCD7463F-8FF8-4713-8143-1393D2DCEA4E}" name="Tax Rates (avg. %)" dataDxfId="6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6A57641-4D1B-46F2-9216-C0AAE4E7593F}" name="Transportation" displayName="Transportation" ref="A1:B21" totalsRowShown="0" headerRowDxfId="627" dataDxfId="626">
  <autoFilter ref="A1:B21" xr:uid="{06A57641-4D1B-46F2-9216-C0AAE4E7593F}"/>
  <sortState xmlns:xlrd2="http://schemas.microsoft.com/office/spreadsheetml/2017/richdata2" ref="A2:B21">
    <sortCondition ref="B1:B21"/>
  </sortState>
  <tableColumns count="2">
    <tableColumn id="1" xr3:uid="{3C68B97D-1DAF-4A21-B179-5F9AB5F7FA04}" name="City" dataDxfId="625"/>
    <tableColumn id="2" xr3:uid="{17AA1CCA-4598-45FF-9F31-9D3213CA708A}" name="Transit Score" dataDxfId="6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B6AC5D-D8A4-4EDC-98F7-F8E04ACF3886}" name="Cost_of_living" displayName="Cost_of_living" ref="A1:F21" totalsRowShown="0" headerRowDxfId="623" dataDxfId="622">
  <autoFilter ref="A1:F21" xr:uid="{8EB6AC5D-D8A4-4EDC-98F7-F8E04ACF3886}"/>
  <tableColumns count="6">
    <tableColumn id="1" xr3:uid="{83D06897-6FC0-4668-BE0B-FF420E4C5576}" name="City" dataDxfId="621"/>
    <tableColumn id="2" xr3:uid="{29AC3F06-91F2-44F3-9C36-F6D03AA59AF1}" name="Monthly Housing (USD)" dataDxfId="620"/>
    <tableColumn id="3" xr3:uid="{3D75B96A-8825-4893-99A7-491BD462EC74}" name="Utilities (USD)" dataDxfId="619"/>
    <tableColumn id="4" xr3:uid="{4506CB76-92BC-4C59-8F80-AE223BB66D7A}" name="Transportation (USD)" dataDxfId="618"/>
    <tableColumn id="5" xr3:uid="{D7F9F10C-4393-40E3-A7F3-BBCF5E73A637}" name="Groceries (USD)" dataDxfId="617"/>
    <tableColumn id="6" xr3:uid="{5325CCDB-3254-448A-B9C2-3CAAE9694326}" name="Overall Monthly Cost (USD)" dataDxfId="6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4FF55F1-BCF3-41BC-85E4-93E3773BE49C}" name="Healthcare" displayName="Healthcare" ref="A1:D21" totalsRowShown="0" headerRowDxfId="615">
  <autoFilter ref="A1:D21" xr:uid="{24FF55F1-BCF3-41BC-85E4-93E3773BE49C}"/>
  <tableColumns count="4">
    <tableColumn id="1" xr3:uid="{D3622512-E32B-432A-B975-273A42B1D9C6}" name="City" dataDxfId="614"/>
    <tableColumn id="2" xr3:uid="{8F30A013-EEC6-4F63-9989-6C975C26CDA5}" name="Healthcare Access &amp; Availability" dataDxfId="613"/>
    <tableColumn id="3" xr3:uid="{A9BB7EEB-D011-49BC-9500-3744E0380EDD}" name="Healthcare Quality (Rating)" dataDxfId="612"/>
    <tableColumn id="4" xr3:uid="{AD5BABEA-FB57-534E-A647-89739B86F34D}" name="Column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7752E2A-9B83-420F-B26A-6D6E5C5251EE}" name="Safety_Rate" displayName="Safety_Rate" ref="A1:D21" totalsRowShown="0" headerRowDxfId="611">
  <autoFilter ref="A1:D21" xr:uid="{97752E2A-9B83-420F-B26A-6D6E5C5251EE}"/>
  <tableColumns count="4">
    <tableColumn id="1" xr3:uid="{F49A9F94-6AFD-428C-8F1D-2FA2A314D1A0}" name="City" dataDxfId="610"/>
    <tableColumn id="2" xr3:uid="{32A6C8F5-75B1-4A5D-BC7A-36C6B5D4FC06}" name="Crime Rate (per 100,000)" dataDxfId="609"/>
    <tableColumn id="3" xr3:uid="{7289670D-614A-4859-8039-ACC8D2939CC3}" name="Safety Score (out of 100)" dataDxfId="608"/>
    <tableColumn id="4" xr3:uid="{F948DFFC-DBFA-7241-B96B-9CBD2C2C0C7C}" name="Rating" dataDxfId="607">
      <calculatedColumnFormula array="1">_xlfn.IFS(Safety_Rate[[#This Row],[Safety Score (out of 100)]]&lt;41,"Low",Safety_Rate[[#This Row],[Safety Score (out of 100)]]&lt;71,"Moderate",Safety_Rate[[#This Row],[Safety Score (out of 100)]]&lt;101,"High")</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0B09E58-31BD-47CD-82BA-257546E761FC}" name="Temperature" displayName="Temperature" ref="A2:G22" totalsRowShown="0" headerRowDxfId="606" dataDxfId="605">
  <autoFilter ref="A2:G22" xr:uid="{10B09E58-31BD-47CD-82BA-257546E761FC}"/>
  <sortState xmlns:xlrd2="http://schemas.microsoft.com/office/spreadsheetml/2017/richdata2" ref="A3:G22">
    <sortCondition ref="A2:A22"/>
  </sortState>
  <tableColumns count="7">
    <tableColumn id="2" xr3:uid="{799F9851-F7FF-48AD-8826-B27526B1EFE2}" name="City" dataDxfId="604"/>
    <tableColumn id="3" xr3:uid="{5B67CE6B-C13A-46A2-9D6B-4F035EA41561}" name="Sunny Day" dataDxfId="603"/>
    <tableColumn id="4" xr3:uid="{1B66792E-30B6-4422-8D7D-1B154D9A762F}" name="Precipitation day" dataDxfId="602"/>
    <tableColumn id="5" xr3:uid="{FBAB8979-94D9-49DB-B3A4-9B14D8259906}" name="Snow Day" dataDxfId="601"/>
    <tableColumn id="6" xr3:uid="{6C7FB9FA-2EDA-4874-822F-5C561AF5323A}" name="High" dataDxfId="600"/>
    <tableColumn id="7" xr3:uid="{E670DC65-5668-4ECB-937B-37008E08C7C3}" name="Low" dataDxfId="599"/>
    <tableColumn id="8" xr3:uid="{15F4A4C3-B895-44B0-B48B-C4103E6348CD}" name="Average (°F)" dataDxfId="598">
      <calculatedColumnFormula>AVERAGE(Temperature[[#This Row],[High]:[Low]])</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A598750-42BA-4A8D-AAB7-16F860F5B1B1}" name="Temp" displayName="Temp" ref="K2:L22" totalsRowShown="0" dataDxfId="597">
  <autoFilter ref="K2:L22" xr:uid="{5A598750-42BA-4A8D-AAB7-16F860F5B1B1}"/>
  <tableColumns count="2">
    <tableColumn id="1" xr3:uid="{178F96BA-6F5B-454A-AF7D-667BE74F83D9}" name="City" dataDxfId="596"/>
    <tableColumn id="2" xr3:uid="{7A09B00C-85F7-4FAA-A4D2-15400210304E}" name="Average (°F)" dataDxfId="595">
      <calculatedColumnFormula>AVERAGE(Temperature[[#This Row],[High]:[Low]])</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table" Target="../tables/table1.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ivotTable" Target="../pivotTables/pivotTable5.xml"/><Relationship Id="rId6" Type="http://schemas.openxmlformats.org/officeDocument/2006/relationships/table" Target="../tables/table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openxmlformats.org/officeDocument/2006/relationships/hyperlink" Target="https://taxfoundation.org/data/all/state/2024-sales-taxes/" TargetMode="External"/><Relationship Id="rId7" Type="http://schemas.openxmlformats.org/officeDocument/2006/relationships/hyperlink" Target="https://www.currentresults.com/Weather/US/average-annual-precipitation-by-city.php" TargetMode="External"/><Relationship Id="rId2" Type="http://schemas.openxmlformats.org/officeDocument/2006/relationships/hyperlink" Target="https://www.safehome.org/resources/crime-statistics-by-state/" TargetMode="External"/><Relationship Id="rId1" Type="http://schemas.openxmlformats.org/officeDocument/2006/relationships/hyperlink" Target="https://livingcost.org/cost/united-states" TargetMode="External"/><Relationship Id="rId6" Type="http://schemas.openxmlformats.org/officeDocument/2006/relationships/hyperlink" Target="https://livingcost.org/" TargetMode="External"/><Relationship Id="rId5" Type="http://schemas.openxmlformats.org/officeDocument/2006/relationships/hyperlink" Target="https://www.walkscore.com/transit-score-methodology.shtml" TargetMode="External"/><Relationship Id="rId4" Type="http://schemas.openxmlformats.org/officeDocument/2006/relationships/hyperlink" Target="https://www.usnews.com/news/best-states/rankings/health-car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4E745-20FA-4583-B05B-95E2D5A6F90D}">
  <sheetPr codeName="Sheet1"/>
  <dimension ref="B1:P36"/>
  <sheetViews>
    <sheetView showGridLines="0" tabSelected="1" zoomScale="68" zoomScaleNormal="68" workbookViewId="0">
      <selection activeCell="K11" sqref="K11"/>
    </sheetView>
  </sheetViews>
  <sheetFormatPr defaultColWidth="8.796875" defaultRowHeight="14.25" x14ac:dyDescent="0.45"/>
  <cols>
    <col min="6" max="6" width="10.6640625" bestFit="1" customWidth="1"/>
    <col min="7" max="7" width="11.1328125" bestFit="1" customWidth="1"/>
    <col min="11" max="11" width="30.33203125" bestFit="1" customWidth="1"/>
    <col min="12" max="12" width="4.86328125" bestFit="1" customWidth="1"/>
    <col min="14" max="14" width="7.796875" customWidth="1"/>
    <col min="15" max="15" width="60.796875" customWidth="1"/>
    <col min="16" max="16" width="28.265625" bestFit="1" customWidth="1"/>
    <col min="17" max="17" width="16.265625" bestFit="1" customWidth="1"/>
    <col min="18" max="18" width="21.33203125" bestFit="1" customWidth="1"/>
    <col min="19" max="19" width="8.1328125" bestFit="1" customWidth="1"/>
    <col min="20" max="20" width="3.9296875" bestFit="1" customWidth="1"/>
    <col min="21" max="21" width="8.33203125" bestFit="1" customWidth="1"/>
    <col min="22" max="22" width="5.86328125" bestFit="1" customWidth="1"/>
    <col min="23" max="23" width="32.19921875" bestFit="1" customWidth="1"/>
    <col min="24" max="24" width="21.06640625" bestFit="1" customWidth="1"/>
    <col min="25" max="26" width="4.73046875" bestFit="1" customWidth="1"/>
    <col min="27" max="27" width="5.86328125" bestFit="1" customWidth="1"/>
    <col min="28" max="28" width="27.86328125" bestFit="1" customWidth="1"/>
    <col min="29" max="39" width="2.73046875" bestFit="1" customWidth="1"/>
    <col min="40" max="40" width="5.86328125" bestFit="1" customWidth="1"/>
    <col min="41" max="41" width="32" bestFit="1" customWidth="1"/>
    <col min="42" max="42" width="32.19921875" bestFit="1" customWidth="1"/>
  </cols>
  <sheetData>
    <row r="1" spans="2:16" x14ac:dyDescent="0.45">
      <c r="B1" s="56"/>
      <c r="C1" s="57"/>
      <c r="D1" s="57"/>
      <c r="E1" s="57"/>
      <c r="F1" s="57"/>
      <c r="G1" s="57"/>
      <c r="H1" s="57"/>
      <c r="I1" s="57"/>
      <c r="J1" s="57"/>
      <c r="K1" s="57"/>
      <c r="L1" s="57"/>
      <c r="M1" s="57"/>
      <c r="N1" s="57"/>
      <c r="O1" s="58"/>
    </row>
    <row r="2" spans="2:16" ht="25.9" x14ac:dyDescent="0.45">
      <c r="B2" s="59"/>
      <c r="C2" s="60"/>
      <c r="D2" s="77" t="s">
        <v>57</v>
      </c>
      <c r="E2" s="77"/>
      <c r="F2" s="77"/>
      <c r="G2" s="77"/>
      <c r="H2" s="77"/>
      <c r="I2" s="77"/>
      <c r="J2" s="77"/>
      <c r="K2" s="77"/>
      <c r="L2" s="77"/>
      <c r="M2" s="77"/>
      <c r="N2" s="77"/>
      <c r="O2" s="78"/>
    </row>
    <row r="3" spans="2:16" x14ac:dyDescent="0.45">
      <c r="B3" s="59"/>
      <c r="C3" s="60"/>
      <c r="D3" s="60"/>
      <c r="E3" s="60"/>
      <c r="F3" s="60"/>
      <c r="G3" s="60"/>
      <c r="H3" s="60"/>
      <c r="I3" s="60"/>
      <c r="J3" s="60"/>
      <c r="K3" s="60"/>
      <c r="L3" s="60"/>
      <c r="M3" s="60"/>
      <c r="N3" s="60"/>
      <c r="O3" s="61"/>
    </row>
    <row r="4" spans="2:16" x14ac:dyDescent="0.45">
      <c r="B4" s="27"/>
      <c r="C4" s="32"/>
      <c r="D4" s="32"/>
      <c r="E4" s="32"/>
      <c r="F4" s="32"/>
      <c r="G4" s="32"/>
      <c r="H4" s="32"/>
      <c r="I4" s="32"/>
      <c r="J4" s="32"/>
      <c r="K4" s="32"/>
      <c r="L4" s="32"/>
      <c r="M4" s="32"/>
      <c r="N4" s="32"/>
      <c r="O4" s="28"/>
    </row>
    <row r="5" spans="2:16" x14ac:dyDescent="0.45">
      <c r="B5" s="27"/>
      <c r="C5" s="32"/>
      <c r="D5" s="32"/>
      <c r="E5" s="32"/>
      <c r="F5" s="32"/>
      <c r="G5" s="32"/>
      <c r="H5" s="32"/>
      <c r="I5" s="32"/>
      <c r="J5" s="32"/>
      <c r="K5" s="32"/>
      <c r="L5" s="32"/>
      <c r="M5" s="32"/>
      <c r="N5" s="32"/>
      <c r="O5" s="28"/>
    </row>
    <row r="6" spans="2:16" x14ac:dyDescent="0.45">
      <c r="B6" s="27"/>
      <c r="C6" s="32"/>
      <c r="D6" s="32"/>
      <c r="E6" s="32"/>
      <c r="F6" s="32"/>
      <c r="G6" s="32"/>
      <c r="H6" s="32"/>
      <c r="I6" s="32"/>
      <c r="J6" s="32"/>
      <c r="K6" s="32"/>
      <c r="L6" s="32"/>
      <c r="M6" s="32"/>
      <c r="N6" s="32"/>
      <c r="O6" s="28"/>
    </row>
    <row r="7" spans="2:16" ht="22.15" x14ac:dyDescent="0.45">
      <c r="B7" s="27"/>
      <c r="C7" s="32"/>
      <c r="D7" s="32"/>
      <c r="E7" s="32"/>
      <c r="F7" s="32"/>
      <c r="G7" s="32"/>
      <c r="H7" s="32"/>
      <c r="I7" s="32"/>
      <c r="J7" s="32"/>
      <c r="K7" s="32"/>
      <c r="L7" s="32"/>
      <c r="M7" s="32"/>
      <c r="N7" s="55"/>
      <c r="O7" s="63" t="s">
        <v>73</v>
      </c>
    </row>
    <row r="8" spans="2:16" ht="14.25" customHeight="1" x14ac:dyDescent="0.45">
      <c r="B8" s="27"/>
      <c r="C8" s="32"/>
      <c r="D8" s="32"/>
      <c r="E8" s="32"/>
      <c r="F8" s="32"/>
      <c r="G8" s="32"/>
      <c r="H8" s="32"/>
      <c r="I8" s="32"/>
      <c r="J8" s="32"/>
      <c r="K8" s="32"/>
      <c r="L8" s="32"/>
      <c r="M8" s="32"/>
      <c r="N8" s="55"/>
      <c r="O8" s="63"/>
    </row>
    <row r="9" spans="2:16" ht="14.25" customHeight="1" x14ac:dyDescent="0.45">
      <c r="B9" s="27"/>
      <c r="C9" s="32"/>
      <c r="D9" s="32"/>
      <c r="E9" s="32"/>
      <c r="F9" s="32"/>
      <c r="G9" s="32"/>
      <c r="H9" s="32"/>
      <c r="I9" s="32"/>
      <c r="J9" s="32"/>
      <c r="K9" s="32"/>
      <c r="L9" s="32"/>
      <c r="M9" s="32"/>
      <c r="N9" s="32"/>
      <c r="O9" s="64" t="str" cm="1">
        <f t="array" ref="O9:O12">_xlfn._xlws.FILTER('Tax rates'!A2:A21,('Tax rates'!B2:B21&lt;Dashboard!G11)*(Transportation!B2:B21&gt;Dashboard!F19)*(Cost_of_living[Overall Monthly Cost (USD)]&lt;Dashboard!G26)*(Healthcare[Healthcare Quality (Rating)]&gt;Dashboard!K11)*('Safety rate'!D2:D21=Dashboard!K19)*(Temperature[Average (°F)]&gt;Dashboard!L26),"No City Found")</f>
        <v>San Francisco, CA</v>
      </c>
    </row>
    <row r="10" spans="2:16" ht="18" customHeight="1" x14ac:dyDescent="0.55000000000000004">
      <c r="B10" s="27"/>
      <c r="C10" s="32"/>
      <c r="D10" s="32"/>
      <c r="E10" s="32"/>
      <c r="F10" s="53" t="s">
        <v>47</v>
      </c>
      <c r="G10" s="32"/>
      <c r="H10" s="32"/>
      <c r="I10" s="32"/>
      <c r="J10" s="32"/>
      <c r="K10" s="53" t="s">
        <v>54</v>
      </c>
      <c r="L10" s="32"/>
      <c r="M10" s="32"/>
      <c r="N10" s="32"/>
      <c r="O10" s="65" t="str">
        <v>Seattle, WA</v>
      </c>
    </row>
    <row r="11" spans="2:16" ht="18" customHeight="1" x14ac:dyDescent="0.65">
      <c r="B11" s="27"/>
      <c r="C11" s="32"/>
      <c r="D11" s="32"/>
      <c r="E11" s="32"/>
      <c r="F11" s="52" t="s">
        <v>58</v>
      </c>
      <c r="G11" s="66">
        <v>0.1</v>
      </c>
      <c r="H11" s="32"/>
      <c r="I11" s="32"/>
      <c r="J11" s="32"/>
      <c r="K11" s="67">
        <v>6</v>
      </c>
      <c r="L11" s="32"/>
      <c r="M11" s="32"/>
      <c r="N11" s="32"/>
      <c r="O11" s="68" t="str">
        <v>Tallahassee, FL</v>
      </c>
    </row>
    <row r="12" spans="2:16" ht="18" customHeight="1" x14ac:dyDescent="0.45">
      <c r="B12" s="27"/>
      <c r="C12" s="32"/>
      <c r="D12" s="32"/>
      <c r="E12" s="32"/>
      <c r="F12" s="32"/>
      <c r="G12" s="32"/>
      <c r="H12" s="32"/>
      <c r="I12" s="32"/>
      <c r="J12" s="32"/>
      <c r="K12" s="32"/>
      <c r="L12" s="32"/>
      <c r="M12" s="32"/>
      <c r="N12" s="32"/>
      <c r="O12" s="65" t="str">
        <v>Washington, DC</v>
      </c>
    </row>
    <row r="13" spans="2:16" ht="19.5" x14ac:dyDescent="0.65">
      <c r="B13" s="27"/>
      <c r="C13" s="32"/>
      <c r="D13" s="32"/>
      <c r="E13" s="32"/>
      <c r="F13" s="32"/>
      <c r="G13" s="32"/>
      <c r="H13" s="32"/>
      <c r="I13" s="32"/>
      <c r="J13" s="32"/>
      <c r="K13" s="32"/>
      <c r="L13" s="32"/>
      <c r="M13" s="32"/>
      <c r="N13" s="32"/>
      <c r="O13" s="68"/>
    </row>
    <row r="14" spans="2:16" ht="18" x14ac:dyDescent="0.55000000000000004">
      <c r="B14" s="27"/>
      <c r="C14" s="32"/>
      <c r="D14" s="32"/>
      <c r="E14" s="32"/>
      <c r="F14" s="32"/>
      <c r="G14" s="32"/>
      <c r="H14" s="32"/>
      <c r="I14" s="32"/>
      <c r="J14" s="32"/>
      <c r="K14" s="32"/>
      <c r="L14" s="32"/>
      <c r="M14" s="32"/>
      <c r="N14" s="32"/>
      <c r="O14" s="69"/>
    </row>
    <row r="15" spans="2:16" ht="26.65" x14ac:dyDescent="0.45">
      <c r="B15" s="27"/>
      <c r="C15" s="32"/>
      <c r="D15" s="32"/>
      <c r="E15" s="32"/>
      <c r="F15" s="32"/>
      <c r="G15" s="32"/>
      <c r="H15" s="32"/>
      <c r="I15" s="32"/>
      <c r="J15" s="32"/>
      <c r="K15" s="32"/>
      <c r="L15" s="32"/>
      <c r="M15" s="32"/>
      <c r="N15" s="32"/>
      <c r="O15" s="70" t="s">
        <v>68</v>
      </c>
      <c r="P15" s="42"/>
    </row>
    <row r="16" spans="2:16" ht="14.25" customHeight="1" x14ac:dyDescent="0.45">
      <c r="B16" s="27"/>
      <c r="C16" s="32"/>
      <c r="D16" s="32"/>
      <c r="E16" s="32"/>
      <c r="F16" s="32"/>
      <c r="G16" s="32"/>
      <c r="H16" s="32"/>
      <c r="I16" s="32"/>
      <c r="J16" s="32"/>
      <c r="K16" s="32"/>
      <c r="L16" s="32"/>
      <c r="M16" s="32"/>
      <c r="N16" s="71"/>
      <c r="O16" s="62"/>
      <c r="P16" s="42"/>
    </row>
    <row r="17" spans="2:16" ht="14.25" customHeight="1" x14ac:dyDescent="0.45">
      <c r="B17" s="27"/>
      <c r="C17" s="32"/>
      <c r="D17" s="32"/>
      <c r="E17" s="32"/>
      <c r="F17" s="32"/>
      <c r="G17" s="32"/>
      <c r="H17" s="32"/>
      <c r="I17" s="32"/>
      <c r="J17" s="32"/>
      <c r="K17" s="32"/>
      <c r="L17" s="32"/>
      <c r="M17" s="32"/>
      <c r="N17" s="71"/>
      <c r="O17" s="62"/>
      <c r="P17" s="42"/>
    </row>
    <row r="18" spans="2:16" ht="14.25" customHeight="1" x14ac:dyDescent="0.55000000000000004">
      <c r="B18" s="27"/>
      <c r="C18" s="32"/>
      <c r="D18" s="32"/>
      <c r="E18" s="32"/>
      <c r="F18" s="53" t="s">
        <v>22</v>
      </c>
      <c r="G18" s="32"/>
      <c r="H18" s="32"/>
      <c r="I18" s="32"/>
      <c r="J18" s="32"/>
      <c r="K18" s="53" t="s">
        <v>55</v>
      </c>
      <c r="L18" s="32"/>
      <c r="M18" s="32"/>
      <c r="N18" s="71"/>
      <c r="O18" s="62"/>
      <c r="P18" s="42"/>
    </row>
    <row r="19" spans="2:16" ht="14.25" customHeight="1" x14ac:dyDescent="0.5">
      <c r="B19" s="27"/>
      <c r="C19" s="32"/>
      <c r="D19" s="32"/>
      <c r="E19" s="32"/>
      <c r="F19" s="67">
        <v>55</v>
      </c>
      <c r="G19" s="32"/>
      <c r="H19" s="32"/>
      <c r="I19" s="32"/>
      <c r="J19" s="32"/>
      <c r="K19" s="72" t="s">
        <v>23</v>
      </c>
      <c r="L19" s="32"/>
      <c r="M19" s="32"/>
      <c r="N19" s="71"/>
      <c r="O19" s="62"/>
      <c r="P19" s="42"/>
    </row>
    <row r="20" spans="2:16" x14ac:dyDescent="0.45">
      <c r="B20" s="27"/>
      <c r="C20" s="32"/>
      <c r="D20" s="32"/>
      <c r="E20" s="32"/>
      <c r="F20" s="32"/>
      <c r="G20" s="32"/>
      <c r="H20" s="32"/>
      <c r="I20" s="32"/>
      <c r="J20" s="32"/>
      <c r="K20" s="32"/>
      <c r="L20" s="32"/>
      <c r="M20" s="32"/>
      <c r="N20" s="32"/>
      <c r="O20" s="28"/>
    </row>
    <row r="21" spans="2:16" x14ac:dyDescent="0.45">
      <c r="B21" s="27"/>
      <c r="C21" s="32"/>
      <c r="D21" s="32"/>
      <c r="E21" s="32"/>
      <c r="F21" s="32"/>
      <c r="G21" s="32"/>
      <c r="H21" s="32"/>
      <c r="I21" s="32"/>
      <c r="J21" s="32"/>
      <c r="K21" s="32"/>
      <c r="L21" s="32"/>
      <c r="M21" s="32"/>
      <c r="N21" s="32"/>
      <c r="O21" s="28"/>
    </row>
    <row r="22" spans="2:16" x14ac:dyDescent="0.45">
      <c r="B22" s="27"/>
      <c r="C22" s="32"/>
      <c r="D22" s="32"/>
      <c r="E22" s="32"/>
      <c r="F22" s="32"/>
      <c r="G22" s="32"/>
      <c r="H22" s="32"/>
      <c r="I22" s="32"/>
      <c r="J22" s="32"/>
      <c r="K22" s="32"/>
      <c r="L22" s="32"/>
      <c r="M22" s="32"/>
      <c r="N22" s="32"/>
      <c r="O22" s="28"/>
    </row>
    <row r="23" spans="2:16" x14ac:dyDescent="0.45">
      <c r="B23" s="27"/>
      <c r="C23" s="32"/>
      <c r="D23" s="32"/>
      <c r="E23" s="32"/>
      <c r="F23" s="32"/>
      <c r="G23" s="32"/>
      <c r="H23" s="32"/>
      <c r="I23" s="32"/>
      <c r="J23" s="32"/>
      <c r="K23" s="32"/>
      <c r="L23" s="32"/>
      <c r="M23" s="32"/>
      <c r="N23" s="32"/>
      <c r="O23" s="28"/>
      <c r="P23" s="35"/>
    </row>
    <row r="24" spans="2:16" x14ac:dyDescent="0.45">
      <c r="B24" s="27"/>
      <c r="C24" s="32"/>
      <c r="D24" s="32"/>
      <c r="E24" s="32"/>
      <c r="F24" s="32"/>
      <c r="G24" s="32"/>
      <c r="H24" s="32"/>
      <c r="I24" s="32"/>
      <c r="J24" s="32"/>
      <c r="K24" s="32"/>
      <c r="L24" s="32"/>
      <c r="M24" s="32"/>
      <c r="N24" s="32"/>
      <c r="O24" s="28"/>
      <c r="P24" s="35"/>
    </row>
    <row r="25" spans="2:16" ht="18" x14ac:dyDescent="0.55000000000000004">
      <c r="B25" s="27"/>
      <c r="C25" s="32"/>
      <c r="D25" s="32"/>
      <c r="E25" s="32"/>
      <c r="F25" s="53" t="s">
        <v>48</v>
      </c>
      <c r="G25" s="54"/>
      <c r="H25" s="32"/>
      <c r="I25" s="32"/>
      <c r="J25" s="32"/>
      <c r="K25" s="53" t="s">
        <v>56</v>
      </c>
      <c r="L25" s="54"/>
      <c r="M25" s="54"/>
      <c r="N25" s="32"/>
      <c r="O25" s="28"/>
      <c r="P25" s="35"/>
    </row>
    <row r="26" spans="2:16" ht="15.75" x14ac:dyDescent="0.5">
      <c r="B26" s="27"/>
      <c r="C26" s="32"/>
      <c r="D26" s="32"/>
      <c r="E26" s="32"/>
      <c r="F26" s="52" t="s">
        <v>58</v>
      </c>
      <c r="G26" s="73">
        <v>3000</v>
      </c>
      <c r="H26" s="32"/>
      <c r="I26" s="32"/>
      <c r="J26" s="32"/>
      <c r="K26" s="72" t="s">
        <v>51</v>
      </c>
      <c r="L26" s="74">
        <v>40</v>
      </c>
      <c r="M26" s="54"/>
      <c r="N26" s="32"/>
      <c r="O26" s="28"/>
      <c r="P26" s="35"/>
    </row>
    <row r="27" spans="2:16" x14ac:dyDescent="0.45">
      <c r="B27" s="27"/>
      <c r="C27" s="32"/>
      <c r="D27" s="32"/>
      <c r="E27" s="32"/>
      <c r="F27" s="32"/>
      <c r="G27" s="32"/>
      <c r="H27" s="32"/>
      <c r="I27" s="32"/>
      <c r="J27" s="32"/>
      <c r="K27" s="32"/>
      <c r="L27" s="32"/>
      <c r="M27" s="32"/>
      <c r="N27" s="32"/>
      <c r="O27" s="28"/>
      <c r="P27" s="35"/>
    </row>
    <row r="28" spans="2:16" ht="14.65" thickBot="1" x14ac:dyDescent="0.5">
      <c r="B28" s="29"/>
      <c r="C28" s="30"/>
      <c r="D28" s="30"/>
      <c r="E28" s="30"/>
      <c r="F28" s="30"/>
      <c r="G28" s="30"/>
      <c r="H28" s="30"/>
      <c r="I28" s="30"/>
      <c r="J28" s="30"/>
      <c r="K28" s="30"/>
      <c r="L28" s="30"/>
      <c r="M28" s="30"/>
      <c r="N28" s="30"/>
      <c r="O28" s="31"/>
      <c r="P28" s="35"/>
    </row>
    <row r="29" spans="2:16" x14ac:dyDescent="0.45">
      <c r="B29" s="35"/>
      <c r="C29" s="80"/>
      <c r="D29" s="80"/>
      <c r="E29" s="80"/>
      <c r="F29" s="80"/>
      <c r="I29" s="35"/>
      <c r="M29" s="35"/>
      <c r="N29" s="35"/>
      <c r="O29" s="35"/>
    </row>
    <row r="30" spans="2:16" ht="14.25" customHeight="1" x14ac:dyDescent="0.45">
      <c r="B30" s="35"/>
      <c r="C30" s="79"/>
      <c r="D30" s="79"/>
      <c r="E30" s="79"/>
      <c r="F30" s="79"/>
      <c r="I30" s="35"/>
    </row>
    <row r="31" spans="2:16" ht="14.25" customHeight="1" x14ac:dyDescent="0.45">
      <c r="B31" s="35"/>
      <c r="C31" s="79"/>
      <c r="D31" s="79"/>
      <c r="E31" s="79"/>
      <c r="F31" s="79"/>
      <c r="I31" s="35"/>
    </row>
    <row r="32" spans="2:16" ht="14.25" customHeight="1" x14ac:dyDescent="0.45">
      <c r="B32" s="35"/>
      <c r="C32" s="79"/>
      <c r="D32" s="79"/>
      <c r="E32" s="79"/>
      <c r="F32" s="79"/>
      <c r="I32" s="35"/>
    </row>
    <row r="33" spans="2:15" ht="14.25" customHeight="1" x14ac:dyDescent="0.45">
      <c r="B33" s="35"/>
      <c r="C33" s="79"/>
      <c r="D33" s="79"/>
      <c r="E33" s="79"/>
      <c r="F33" s="79"/>
      <c r="I33" s="35"/>
    </row>
    <row r="34" spans="2:15" ht="18" customHeight="1" x14ac:dyDescent="0.45">
      <c r="B34" s="35"/>
      <c r="C34" s="35"/>
      <c r="D34" s="35"/>
      <c r="E34" s="35"/>
      <c r="F34" s="35"/>
      <c r="I34" s="35"/>
    </row>
    <row r="35" spans="2:15" x14ac:dyDescent="0.45">
      <c r="B35" s="35"/>
      <c r="C35" s="35"/>
      <c r="D35" s="35"/>
      <c r="E35" s="35"/>
      <c r="F35" s="35"/>
      <c r="G35" s="41"/>
      <c r="H35" s="35"/>
      <c r="I35" s="35"/>
      <c r="J35" s="35"/>
      <c r="K35" s="35"/>
      <c r="L35" s="35"/>
      <c r="M35" s="35"/>
      <c r="N35" s="35"/>
      <c r="O35" s="35"/>
    </row>
    <row r="36" spans="2:15" x14ac:dyDescent="0.45">
      <c r="B36" s="35"/>
      <c r="C36" s="35"/>
      <c r="D36" s="35"/>
      <c r="E36" s="35"/>
      <c r="F36" s="35"/>
      <c r="G36" s="41"/>
      <c r="H36" s="35"/>
      <c r="I36" s="35"/>
      <c r="J36" s="35"/>
      <c r="K36" s="35"/>
      <c r="L36" s="35"/>
      <c r="M36" s="35"/>
      <c r="N36" s="35"/>
      <c r="O36" s="35"/>
    </row>
  </sheetData>
  <mergeCells count="3">
    <mergeCell ref="D2:O2"/>
    <mergeCell ref="C30:F33"/>
    <mergeCell ref="C29:F29"/>
  </mergeCell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FE11195F-7179-B242-971F-D42BB2458317}">
          <x14:formula1>
            <xm:f>'Cost of living'!$K$2:$K$7</xm:f>
          </x14:formula1>
          <xm:sqref>G26</xm:sqref>
        </x14:dataValidation>
        <x14:dataValidation type="list" allowBlank="1" showInputMessage="1" showErrorMessage="1" xr:uid="{14A758E4-0649-DE41-8B28-ABBFACDD5B81}">
          <x14:formula1>
            <xm:f>Healthcare!$E$2:$E$12</xm:f>
          </x14:formula1>
          <xm:sqref>K11</xm:sqref>
        </x14:dataValidation>
        <x14:dataValidation type="list" allowBlank="1" showInputMessage="1" showErrorMessage="1" xr:uid="{6D33D9F3-DC64-C24D-8E80-241557D4CFA0}">
          <x14:formula1>
            <xm:f>Temperature!$I$3:$I$7</xm:f>
          </x14:formula1>
          <xm:sqref>L26</xm:sqref>
        </x14:dataValidation>
        <x14:dataValidation type="list" allowBlank="1" showInputMessage="1" showErrorMessage="1" xr:uid="{2925FCDE-0624-6F49-B8C9-4D2FF77810FE}">
          <x14:formula1>
            <xm:f>Transportation!$B$2:$B$21</xm:f>
          </x14:formula1>
          <xm:sqref>F19</xm:sqref>
        </x14:dataValidation>
        <x14:dataValidation type="list" allowBlank="1" showInputMessage="1" showErrorMessage="1" xr:uid="{71EFE393-6A59-B043-9D8E-B5CFDF3C2F20}">
          <x14:formula1>
            <xm:f>'Safety rate'!$D$2:$D$21</xm:f>
          </x14:formula1>
          <xm:sqref>K19</xm:sqref>
        </x14:dataValidation>
        <x14:dataValidation type="list" allowBlank="1" showInputMessage="1" showErrorMessage="1" xr:uid="{4BE9ED98-ACE7-9D4B-B541-607EBECB074A}">
          <x14:formula1>
            <xm:f>'Tax rates'!$B$2:$B$21</xm:f>
          </x14:formula1>
          <xm:sqref>G11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1852E-5F68-4759-ABD1-CF231BAA56DC}">
  <sheetPr codeName="Sheet2"/>
  <dimension ref="B1:W53"/>
  <sheetViews>
    <sheetView topLeftCell="A7" zoomScale="55" zoomScaleNormal="55" workbookViewId="0">
      <selection activeCell="C38" sqref="C38"/>
    </sheetView>
  </sheetViews>
  <sheetFormatPr defaultRowHeight="14.25" x14ac:dyDescent="0.45"/>
  <cols>
    <col min="1" max="1" width="19.59765625" bestFit="1" customWidth="1"/>
    <col min="2" max="2" width="10.9296875" customWidth="1"/>
    <col min="3" max="3" width="22" bestFit="1" customWidth="1"/>
    <col min="4" max="4" width="24.33203125" bestFit="1" customWidth="1"/>
    <col min="5" max="5" width="33.46484375" bestFit="1" customWidth="1"/>
    <col min="6" max="6" width="30.1328125" bestFit="1" customWidth="1"/>
  </cols>
  <sheetData>
    <row r="1" spans="2:23" ht="14.65" thickBot="1" x14ac:dyDescent="0.5"/>
    <row r="2" spans="2:23" x14ac:dyDescent="0.45">
      <c r="B2" s="56"/>
      <c r="C2" s="57"/>
      <c r="D2" s="93" t="s">
        <v>72</v>
      </c>
      <c r="E2" s="93"/>
      <c r="F2" s="93"/>
      <c r="G2" s="93"/>
      <c r="H2" s="93"/>
      <c r="I2" s="93"/>
      <c r="J2" s="93"/>
      <c r="K2" s="93"/>
      <c r="L2" s="93"/>
      <c r="M2" s="93"/>
      <c r="N2" s="93"/>
      <c r="O2" s="93"/>
      <c r="P2" s="93"/>
      <c r="Q2" s="93"/>
      <c r="R2" s="57"/>
      <c r="S2" s="57"/>
      <c r="T2" s="58"/>
    </row>
    <row r="3" spans="2:23" x14ac:dyDescent="0.45">
      <c r="B3" s="59"/>
      <c r="C3" s="60"/>
      <c r="D3" s="94"/>
      <c r="E3" s="94"/>
      <c r="F3" s="94"/>
      <c r="G3" s="94"/>
      <c r="H3" s="94"/>
      <c r="I3" s="94"/>
      <c r="J3" s="94"/>
      <c r="K3" s="94"/>
      <c r="L3" s="94"/>
      <c r="M3" s="94"/>
      <c r="N3" s="94"/>
      <c r="O3" s="94"/>
      <c r="P3" s="94"/>
      <c r="Q3" s="94"/>
      <c r="R3" s="60"/>
      <c r="S3" s="60"/>
      <c r="T3" s="61"/>
    </row>
    <row r="4" spans="2:23" x14ac:dyDescent="0.45">
      <c r="B4" s="59"/>
      <c r="C4" s="60"/>
      <c r="D4" s="94"/>
      <c r="E4" s="94"/>
      <c r="F4" s="94"/>
      <c r="G4" s="94"/>
      <c r="H4" s="94"/>
      <c r="I4" s="94"/>
      <c r="J4" s="94"/>
      <c r="K4" s="94"/>
      <c r="L4" s="94"/>
      <c r="M4" s="94"/>
      <c r="N4" s="94"/>
      <c r="O4" s="94"/>
      <c r="P4" s="94"/>
      <c r="Q4" s="94"/>
      <c r="R4" s="60"/>
      <c r="S4" s="60"/>
      <c r="T4" s="61"/>
    </row>
    <row r="5" spans="2:23" x14ac:dyDescent="0.45">
      <c r="B5" s="27"/>
      <c r="C5" s="32"/>
      <c r="D5" s="32"/>
      <c r="E5" s="32"/>
      <c r="F5" s="32"/>
      <c r="G5" s="32"/>
      <c r="H5" s="32"/>
      <c r="I5" s="32"/>
      <c r="J5" s="32"/>
      <c r="K5" s="32"/>
      <c r="L5" s="32"/>
      <c r="M5" s="32"/>
      <c r="N5" s="32"/>
      <c r="O5" s="32"/>
      <c r="P5" s="32"/>
      <c r="Q5" s="32"/>
      <c r="R5" s="32"/>
      <c r="S5" s="32"/>
      <c r="T5" s="28"/>
      <c r="U5" s="35"/>
      <c r="V5" s="35"/>
      <c r="W5" s="35"/>
    </row>
    <row r="6" spans="2:23" x14ac:dyDescent="0.45">
      <c r="B6" s="27"/>
      <c r="C6" s="32"/>
      <c r="D6" s="32"/>
      <c r="E6" s="32"/>
      <c r="F6" s="32"/>
      <c r="G6" s="32"/>
      <c r="H6" s="32"/>
      <c r="I6" s="32"/>
      <c r="J6" s="32"/>
      <c r="K6" s="32"/>
      <c r="L6" s="32"/>
      <c r="M6" s="32"/>
      <c r="N6" s="32"/>
      <c r="O6" s="32"/>
      <c r="P6" s="32"/>
      <c r="Q6" s="32"/>
      <c r="R6" s="32"/>
      <c r="S6" s="32"/>
      <c r="T6" s="28"/>
      <c r="U6" s="35"/>
      <c r="V6" s="35"/>
      <c r="W6" s="35"/>
    </row>
    <row r="7" spans="2:23" x14ac:dyDescent="0.45">
      <c r="B7" s="27"/>
      <c r="C7" s="32"/>
      <c r="D7" s="32"/>
      <c r="E7" s="32"/>
      <c r="F7" s="32"/>
      <c r="G7" s="32"/>
      <c r="H7" s="32"/>
      <c r="I7" s="32"/>
      <c r="J7" s="32"/>
      <c r="K7" s="32"/>
      <c r="L7" s="32"/>
      <c r="M7" s="32"/>
      <c r="N7" s="32"/>
      <c r="O7" s="32"/>
      <c r="P7" s="32"/>
      <c r="Q7" s="32"/>
      <c r="R7" s="32"/>
      <c r="S7" s="32"/>
      <c r="T7" s="28"/>
      <c r="U7" s="35"/>
      <c r="V7" s="35"/>
      <c r="W7" s="35"/>
    </row>
    <row r="8" spans="2:23" x14ac:dyDescent="0.45">
      <c r="B8" s="27"/>
      <c r="C8" s="32"/>
      <c r="D8" s="32"/>
      <c r="E8" s="32"/>
      <c r="F8" s="32"/>
      <c r="G8" s="32"/>
      <c r="H8" s="32"/>
      <c r="I8" s="32"/>
      <c r="J8" s="32"/>
      <c r="K8" s="32"/>
      <c r="L8" s="32"/>
      <c r="M8" s="32"/>
      <c r="N8" s="32"/>
      <c r="O8" s="32"/>
      <c r="P8" s="32"/>
      <c r="Q8" s="32"/>
      <c r="R8" s="32"/>
      <c r="S8" s="32"/>
      <c r="T8" s="28"/>
      <c r="U8" s="35"/>
      <c r="V8" s="35"/>
      <c r="W8" s="35"/>
    </row>
    <row r="9" spans="2:23" x14ac:dyDescent="0.45">
      <c r="B9" s="27"/>
      <c r="C9" s="32"/>
      <c r="D9" s="32"/>
      <c r="E9" s="32"/>
      <c r="F9" s="32"/>
      <c r="G9" s="32"/>
      <c r="H9" s="32"/>
      <c r="I9" s="32"/>
      <c r="J9" s="32"/>
      <c r="K9" s="32"/>
      <c r="L9" s="32"/>
      <c r="M9" s="32"/>
      <c r="N9" s="32"/>
      <c r="O9" s="32"/>
      <c r="P9" s="32"/>
      <c r="Q9" s="32"/>
      <c r="R9" s="32"/>
      <c r="S9" s="32"/>
      <c r="T9" s="28"/>
      <c r="U9" s="35"/>
      <c r="V9" s="35"/>
      <c r="W9" s="35"/>
    </row>
    <row r="10" spans="2:23" x14ac:dyDescent="0.45">
      <c r="B10" s="27"/>
      <c r="C10" s="32"/>
      <c r="D10" s="32"/>
      <c r="E10" s="32"/>
      <c r="F10" s="32"/>
      <c r="G10" s="32"/>
      <c r="H10" s="32"/>
      <c r="I10" s="32"/>
      <c r="J10" s="32"/>
      <c r="K10" s="32"/>
      <c r="L10" s="32"/>
      <c r="M10" s="32"/>
      <c r="N10" s="32"/>
      <c r="O10" s="32"/>
      <c r="P10" s="32"/>
      <c r="Q10" s="32"/>
      <c r="R10" s="32"/>
      <c r="S10" s="32"/>
      <c r="T10" s="28"/>
      <c r="U10" s="35"/>
      <c r="V10" s="35"/>
      <c r="W10" s="35"/>
    </row>
    <row r="11" spans="2:23" x14ac:dyDescent="0.45">
      <c r="B11" s="27"/>
      <c r="C11" s="32"/>
      <c r="D11" s="32"/>
      <c r="E11" s="32"/>
      <c r="F11" s="32"/>
      <c r="G11" s="32"/>
      <c r="H11" s="32"/>
      <c r="I11" s="32"/>
      <c r="J11" s="32"/>
      <c r="K11" s="32"/>
      <c r="L11" s="32"/>
      <c r="M11" s="32"/>
      <c r="N11" s="32"/>
      <c r="O11" s="32"/>
      <c r="P11" s="32"/>
      <c r="Q11" s="32"/>
      <c r="R11" s="32"/>
      <c r="S11" s="32"/>
      <c r="T11" s="28"/>
      <c r="U11" s="35"/>
      <c r="V11" s="35"/>
      <c r="W11" s="35"/>
    </row>
    <row r="12" spans="2:23" x14ac:dyDescent="0.45">
      <c r="B12" s="27"/>
      <c r="C12" s="32"/>
      <c r="D12" s="32"/>
      <c r="E12" s="32"/>
      <c r="F12" s="32"/>
      <c r="G12" s="32"/>
      <c r="H12" s="32"/>
      <c r="I12" s="32"/>
      <c r="J12" s="32"/>
      <c r="K12" s="32"/>
      <c r="L12" s="32"/>
      <c r="M12" s="32"/>
      <c r="N12" s="32"/>
      <c r="O12" s="32"/>
      <c r="P12" s="32"/>
      <c r="Q12" s="32"/>
      <c r="R12" s="32"/>
      <c r="S12" s="32"/>
      <c r="T12" s="28"/>
      <c r="U12" s="35"/>
      <c r="V12" s="35"/>
      <c r="W12" s="35"/>
    </row>
    <row r="13" spans="2:23" x14ac:dyDescent="0.45">
      <c r="B13" s="27"/>
      <c r="C13" s="32"/>
      <c r="D13" s="32"/>
      <c r="E13" s="32"/>
      <c r="F13" s="32"/>
      <c r="G13" s="32"/>
      <c r="H13" s="32"/>
      <c r="I13" s="32"/>
      <c r="J13" s="32"/>
      <c r="K13" s="32"/>
      <c r="L13" s="32"/>
      <c r="M13" s="32"/>
      <c r="N13" s="32"/>
      <c r="O13" s="32"/>
      <c r="P13" s="32"/>
      <c r="Q13" s="32"/>
      <c r="R13" s="32"/>
      <c r="S13" s="32"/>
      <c r="T13" s="28"/>
      <c r="U13" s="35"/>
      <c r="V13" s="35"/>
      <c r="W13" s="35"/>
    </row>
    <row r="14" spans="2:23" x14ac:dyDescent="0.45">
      <c r="B14" s="27"/>
      <c r="C14" s="32"/>
      <c r="D14" s="32"/>
      <c r="E14" s="32"/>
      <c r="F14" s="32"/>
      <c r="G14" s="32"/>
      <c r="H14" s="32"/>
      <c r="I14" s="32"/>
      <c r="J14" s="32"/>
      <c r="K14" s="32"/>
      <c r="L14" s="32"/>
      <c r="M14" s="32"/>
      <c r="N14" s="32"/>
      <c r="O14" s="32"/>
      <c r="P14" s="32"/>
      <c r="Q14" s="32"/>
      <c r="R14" s="32"/>
      <c r="S14" s="32"/>
      <c r="T14" s="28"/>
      <c r="U14" s="35"/>
      <c r="V14" s="35"/>
      <c r="W14" s="35"/>
    </row>
    <row r="15" spans="2:23" x14ac:dyDescent="0.45">
      <c r="B15" s="27"/>
      <c r="C15" s="32"/>
      <c r="D15" s="32"/>
      <c r="E15" s="32"/>
      <c r="F15" s="32"/>
      <c r="G15" s="32"/>
      <c r="H15" s="32"/>
      <c r="I15" s="32"/>
      <c r="J15" s="32"/>
      <c r="K15" s="32"/>
      <c r="L15" s="32"/>
      <c r="M15" s="32"/>
      <c r="N15" s="32"/>
      <c r="O15" s="32"/>
      <c r="P15" s="32"/>
      <c r="Q15" s="32"/>
      <c r="R15" s="32"/>
      <c r="S15" s="32"/>
      <c r="T15" s="28"/>
      <c r="U15" s="35"/>
      <c r="V15" s="35"/>
      <c r="W15" s="35"/>
    </row>
    <row r="16" spans="2:23" x14ac:dyDescent="0.45">
      <c r="B16" s="27"/>
      <c r="C16" s="32"/>
      <c r="D16" s="32"/>
      <c r="E16" s="32"/>
      <c r="F16" s="32"/>
      <c r="G16" s="32"/>
      <c r="H16" s="32"/>
      <c r="I16" s="32"/>
      <c r="J16" s="32"/>
      <c r="K16" s="32"/>
      <c r="L16" s="32"/>
      <c r="M16" s="32"/>
      <c r="N16" s="32"/>
      <c r="O16" s="32"/>
      <c r="P16" s="32"/>
      <c r="Q16" s="32"/>
      <c r="R16" s="32"/>
      <c r="S16" s="32"/>
      <c r="T16" s="28"/>
      <c r="U16" s="35"/>
      <c r="V16" s="35"/>
      <c r="W16" s="35"/>
    </row>
    <row r="17" spans="2:23" x14ac:dyDescent="0.45">
      <c r="B17" s="27"/>
      <c r="C17" s="32"/>
      <c r="D17" s="32"/>
      <c r="E17" s="32"/>
      <c r="F17" s="32"/>
      <c r="G17" s="32"/>
      <c r="H17" s="32"/>
      <c r="I17" s="32"/>
      <c r="J17" s="32"/>
      <c r="K17" s="32"/>
      <c r="L17" s="32"/>
      <c r="M17" s="32"/>
      <c r="N17" s="32"/>
      <c r="O17" s="32"/>
      <c r="P17" s="32"/>
      <c r="Q17" s="32"/>
      <c r="R17" s="32"/>
      <c r="S17" s="32"/>
      <c r="T17" s="28"/>
      <c r="U17" s="35"/>
      <c r="V17" s="35"/>
      <c r="W17" s="35"/>
    </row>
    <row r="18" spans="2:23" x14ac:dyDescent="0.45">
      <c r="B18" s="27"/>
      <c r="C18" s="32"/>
      <c r="D18" s="32"/>
      <c r="E18" s="32"/>
      <c r="F18" s="32"/>
      <c r="G18" s="32"/>
      <c r="H18" s="32"/>
      <c r="I18" s="32"/>
      <c r="J18" s="32"/>
      <c r="K18" s="32"/>
      <c r="L18" s="32"/>
      <c r="M18" s="32"/>
      <c r="N18" s="32"/>
      <c r="O18" s="32"/>
      <c r="P18" s="32"/>
      <c r="Q18" s="32"/>
      <c r="R18" s="32"/>
      <c r="S18" s="32"/>
      <c r="T18" s="28"/>
      <c r="U18" s="35"/>
      <c r="V18" s="35"/>
      <c r="W18" s="35"/>
    </row>
    <row r="19" spans="2:23" x14ac:dyDescent="0.45">
      <c r="B19" s="27"/>
      <c r="C19" s="32"/>
      <c r="D19" s="32"/>
      <c r="E19" s="32"/>
      <c r="F19" s="32"/>
      <c r="G19" s="32"/>
      <c r="H19" s="32"/>
      <c r="I19" s="32"/>
      <c r="J19" s="32"/>
      <c r="K19" s="32"/>
      <c r="L19" s="32"/>
      <c r="M19" s="32"/>
      <c r="N19" s="32"/>
      <c r="O19" s="32"/>
      <c r="P19" s="32"/>
      <c r="Q19" s="32"/>
      <c r="R19" s="32"/>
      <c r="S19" s="32"/>
      <c r="T19" s="28"/>
      <c r="U19" s="35"/>
      <c r="V19" s="35"/>
      <c r="W19" s="35"/>
    </row>
    <row r="20" spans="2:23" x14ac:dyDescent="0.45">
      <c r="B20" s="27"/>
      <c r="C20" s="32"/>
      <c r="D20" s="32"/>
      <c r="E20" s="32"/>
      <c r="F20" s="32"/>
      <c r="G20" s="32"/>
      <c r="H20" s="32"/>
      <c r="I20" s="32"/>
      <c r="J20" s="32"/>
      <c r="K20" s="32"/>
      <c r="L20" s="32"/>
      <c r="M20" s="32"/>
      <c r="N20" s="32"/>
      <c r="O20" s="32"/>
      <c r="P20" s="32"/>
      <c r="Q20" s="32"/>
      <c r="R20" s="32"/>
      <c r="S20" s="32"/>
      <c r="T20" s="28"/>
      <c r="U20" s="35"/>
      <c r="V20" s="35"/>
      <c r="W20" s="35"/>
    </row>
    <row r="21" spans="2:23" x14ac:dyDescent="0.45">
      <c r="B21" s="27"/>
      <c r="C21" s="32"/>
      <c r="D21" s="32"/>
      <c r="E21" s="32"/>
      <c r="F21" s="32"/>
      <c r="G21" s="32"/>
      <c r="H21" s="32"/>
      <c r="I21" s="32"/>
      <c r="J21" s="32"/>
      <c r="K21" s="32"/>
      <c r="L21" s="32"/>
      <c r="M21" s="32"/>
      <c r="N21" s="32"/>
      <c r="O21" s="32"/>
      <c r="P21" s="32"/>
      <c r="Q21" s="32"/>
      <c r="R21" s="32"/>
      <c r="S21" s="32"/>
      <c r="T21" s="28"/>
      <c r="U21" s="35"/>
      <c r="V21" s="35"/>
      <c r="W21" s="35"/>
    </row>
    <row r="22" spans="2:23" ht="14.65" thickBot="1" x14ac:dyDescent="0.5">
      <c r="B22" s="27"/>
      <c r="C22" s="32"/>
      <c r="D22" s="32"/>
      <c r="E22" s="32"/>
      <c r="F22" s="32"/>
      <c r="G22" s="32"/>
      <c r="H22" s="32"/>
      <c r="I22" s="32"/>
      <c r="J22" s="32"/>
      <c r="K22" s="32"/>
      <c r="L22" s="32"/>
      <c r="M22" s="32"/>
      <c r="N22" s="32"/>
      <c r="O22" s="32"/>
      <c r="P22" s="32"/>
      <c r="Q22" s="32"/>
      <c r="R22" s="32"/>
      <c r="S22" s="32"/>
      <c r="T22" s="28"/>
      <c r="U22" s="35"/>
      <c r="V22" s="35"/>
      <c r="W22" s="35"/>
    </row>
    <row r="23" spans="2:23" x14ac:dyDescent="0.45">
      <c r="B23" s="27"/>
      <c r="C23" s="32"/>
      <c r="D23" s="32"/>
      <c r="E23" s="32"/>
      <c r="F23" s="32"/>
      <c r="G23" s="32"/>
      <c r="H23" s="32"/>
      <c r="I23" s="32"/>
      <c r="J23" s="32"/>
      <c r="K23" s="87" t="s">
        <v>71</v>
      </c>
      <c r="L23" s="88"/>
      <c r="M23" s="88"/>
      <c r="N23" s="88"/>
      <c r="O23" s="88"/>
      <c r="P23" s="88"/>
      <c r="Q23" s="88"/>
      <c r="R23" s="88"/>
      <c r="S23" s="89"/>
      <c r="T23" s="28"/>
      <c r="U23" s="35"/>
      <c r="V23" s="35"/>
      <c r="W23" s="35"/>
    </row>
    <row r="24" spans="2:23" ht="21.4" thickBot="1" x14ac:dyDescent="0.7">
      <c r="B24" s="27"/>
      <c r="C24" s="33"/>
      <c r="D24" s="33"/>
      <c r="E24" s="33"/>
      <c r="F24" s="33"/>
      <c r="G24" s="32"/>
      <c r="H24" s="32"/>
      <c r="I24" s="32"/>
      <c r="J24" s="32"/>
      <c r="K24" s="90"/>
      <c r="L24" s="91"/>
      <c r="M24" s="91"/>
      <c r="N24" s="91"/>
      <c r="O24" s="91"/>
      <c r="P24" s="91"/>
      <c r="Q24" s="91"/>
      <c r="R24" s="91"/>
      <c r="S24" s="92"/>
      <c r="T24" s="28"/>
      <c r="U24" s="35"/>
      <c r="V24" s="35"/>
      <c r="W24" s="35"/>
    </row>
    <row r="25" spans="2:23" ht="21.4" thickBot="1" x14ac:dyDescent="0.7">
      <c r="B25" s="27"/>
      <c r="C25" s="44" t="s">
        <v>0</v>
      </c>
      <c r="D25" s="45" t="s">
        <v>66</v>
      </c>
      <c r="E25" s="46" t="s">
        <v>31</v>
      </c>
      <c r="F25" s="47" t="s">
        <v>45</v>
      </c>
      <c r="G25" s="32"/>
      <c r="H25" s="32"/>
      <c r="I25" s="32"/>
      <c r="J25" s="32"/>
      <c r="K25" s="32"/>
      <c r="L25" s="32"/>
      <c r="M25" s="32"/>
      <c r="N25" s="32"/>
      <c r="O25" s="32"/>
      <c r="P25" s="32"/>
      <c r="Q25" s="32"/>
      <c r="R25" s="32"/>
      <c r="S25" s="32"/>
      <c r="T25" s="28"/>
      <c r="U25" s="35"/>
      <c r="V25" s="35"/>
      <c r="W25" s="35"/>
    </row>
    <row r="26" spans="2:23" ht="21" x14ac:dyDescent="0.65">
      <c r="B26" s="27"/>
      <c r="C26" s="48" t="s">
        <v>13</v>
      </c>
      <c r="D26" s="99">
        <v>3800</v>
      </c>
      <c r="E26" s="100">
        <v>9</v>
      </c>
      <c r="F26" s="102">
        <v>76.92</v>
      </c>
      <c r="G26" s="32"/>
      <c r="H26" s="32"/>
      <c r="I26" s="32"/>
      <c r="J26" s="32"/>
      <c r="K26" s="32"/>
      <c r="L26" s="32"/>
      <c r="M26" s="32"/>
      <c r="N26" s="32"/>
      <c r="O26" s="32"/>
      <c r="P26" s="32"/>
      <c r="Q26" s="32"/>
      <c r="R26" s="32"/>
      <c r="S26" s="32"/>
      <c r="T26" s="28"/>
      <c r="U26" s="35"/>
      <c r="V26" s="35"/>
      <c r="W26" s="35"/>
    </row>
    <row r="27" spans="2:23" ht="21" x14ac:dyDescent="0.65">
      <c r="B27" s="27"/>
      <c r="C27" s="51" t="s">
        <v>12</v>
      </c>
      <c r="D27" s="103">
        <v>2900</v>
      </c>
      <c r="E27" s="96">
        <v>9</v>
      </c>
      <c r="F27" s="101">
        <v>61.54</v>
      </c>
      <c r="G27" s="32"/>
      <c r="H27" s="32"/>
      <c r="I27" s="32"/>
      <c r="J27" s="32"/>
      <c r="K27" s="32"/>
      <c r="L27" s="32"/>
      <c r="M27" s="32"/>
      <c r="N27" s="32"/>
      <c r="O27" s="32"/>
      <c r="P27" s="32"/>
      <c r="Q27" s="32"/>
      <c r="R27" s="32"/>
      <c r="S27" s="32"/>
      <c r="T27" s="28"/>
      <c r="U27" s="35"/>
      <c r="V27" s="35"/>
      <c r="W27" s="35"/>
    </row>
    <row r="28" spans="2:23" ht="21" x14ac:dyDescent="0.65">
      <c r="B28" s="27"/>
      <c r="C28" s="51" t="s">
        <v>1</v>
      </c>
      <c r="D28" s="103">
        <v>1900</v>
      </c>
      <c r="E28" s="96">
        <v>6</v>
      </c>
      <c r="F28" s="101">
        <v>34.619999999999997</v>
      </c>
      <c r="G28" s="32"/>
      <c r="H28" s="32"/>
      <c r="I28" s="32"/>
      <c r="J28" s="32"/>
      <c r="K28" s="32"/>
      <c r="L28" s="32"/>
      <c r="M28" s="32"/>
      <c r="N28" s="32"/>
      <c r="O28" s="32"/>
      <c r="P28" s="32"/>
      <c r="Q28" s="32"/>
      <c r="R28" s="32"/>
      <c r="S28" s="32"/>
      <c r="T28" s="28"/>
      <c r="U28" s="35"/>
      <c r="V28" s="35"/>
      <c r="W28" s="35"/>
    </row>
    <row r="29" spans="2:23" ht="21.4" thickBot="1" x14ac:dyDescent="0.7">
      <c r="B29" s="27"/>
      <c r="C29" s="49" t="s">
        <v>11</v>
      </c>
      <c r="D29" s="104">
        <v>3100</v>
      </c>
      <c r="E29" s="97">
        <v>9</v>
      </c>
      <c r="F29" s="98">
        <v>19.23</v>
      </c>
      <c r="G29" s="32"/>
      <c r="H29" s="32"/>
      <c r="I29" s="32"/>
      <c r="J29" s="32"/>
      <c r="K29" s="32"/>
      <c r="L29" s="32"/>
      <c r="M29" s="32"/>
      <c r="N29" s="32"/>
      <c r="O29" s="32"/>
      <c r="P29" s="32"/>
      <c r="Q29" s="32"/>
      <c r="R29" s="32"/>
      <c r="S29" s="32"/>
      <c r="T29" s="28"/>
      <c r="U29" s="35"/>
      <c r="V29" s="35"/>
      <c r="W29" s="35"/>
    </row>
    <row r="30" spans="2:23" ht="14.65" thickBot="1" x14ac:dyDescent="0.5">
      <c r="B30" s="27"/>
      <c r="C30" s="32"/>
      <c r="D30" s="32"/>
      <c r="E30" s="32"/>
      <c r="F30" s="32"/>
      <c r="G30" s="32"/>
      <c r="H30" s="32"/>
      <c r="I30" s="32"/>
      <c r="J30" s="32"/>
      <c r="K30" s="32"/>
      <c r="L30" s="32"/>
      <c r="M30" s="32"/>
      <c r="N30" s="32"/>
      <c r="O30" s="32"/>
      <c r="P30" s="32"/>
      <c r="Q30" s="32"/>
      <c r="R30" s="32"/>
      <c r="S30" s="32"/>
      <c r="T30" s="28"/>
      <c r="U30" s="35"/>
      <c r="V30" s="35"/>
      <c r="W30" s="35"/>
    </row>
    <row r="31" spans="2:23" x14ac:dyDescent="0.45">
      <c r="B31" s="27"/>
      <c r="C31" s="38"/>
      <c r="D31" s="39"/>
      <c r="E31" s="39"/>
      <c r="F31" s="40"/>
      <c r="G31" s="32"/>
      <c r="H31" s="32"/>
      <c r="I31" s="32"/>
      <c r="J31" s="32"/>
      <c r="K31" s="32"/>
      <c r="L31" s="32"/>
      <c r="M31" s="32"/>
      <c r="N31" s="32"/>
      <c r="O31" s="32"/>
      <c r="P31" s="32"/>
      <c r="Q31" s="32"/>
      <c r="R31" s="32"/>
      <c r="S31" s="32"/>
      <c r="T31" s="28"/>
      <c r="U31" s="35"/>
      <c r="V31" s="35"/>
      <c r="W31" s="35"/>
    </row>
    <row r="32" spans="2:23" x14ac:dyDescent="0.45">
      <c r="B32" s="27"/>
      <c r="C32" s="81" t="s">
        <v>70</v>
      </c>
      <c r="D32" s="82"/>
      <c r="E32" s="82"/>
      <c r="F32" s="83"/>
      <c r="G32" s="32"/>
      <c r="H32" s="32"/>
      <c r="I32" s="32"/>
      <c r="J32" s="32"/>
      <c r="K32" s="32"/>
      <c r="L32" s="32"/>
      <c r="M32" s="32"/>
      <c r="N32" s="32"/>
      <c r="O32" s="32"/>
      <c r="P32" s="32"/>
      <c r="Q32" s="32"/>
      <c r="R32" s="32"/>
      <c r="S32" s="32"/>
      <c r="T32" s="28"/>
      <c r="U32" s="35"/>
      <c r="V32" s="35"/>
      <c r="W32" s="35"/>
    </row>
    <row r="33" spans="2:23" x14ac:dyDescent="0.45">
      <c r="B33" s="27"/>
      <c r="C33" s="81"/>
      <c r="D33" s="82"/>
      <c r="E33" s="82"/>
      <c r="F33" s="83"/>
      <c r="G33" s="32"/>
      <c r="H33" s="32"/>
      <c r="I33" s="32"/>
      <c r="J33" s="32"/>
      <c r="K33" s="32"/>
      <c r="L33" s="32"/>
      <c r="M33" s="32"/>
      <c r="N33" s="32"/>
      <c r="O33" s="32"/>
      <c r="P33" s="32"/>
      <c r="Q33" s="32"/>
      <c r="R33" s="32"/>
      <c r="S33" s="32"/>
      <c r="T33" s="28"/>
      <c r="U33" s="35"/>
      <c r="V33" s="35"/>
      <c r="W33" s="35"/>
    </row>
    <row r="34" spans="2:23" ht="14.65" thickBot="1" x14ac:dyDescent="0.5">
      <c r="B34" s="27"/>
      <c r="C34" s="84"/>
      <c r="D34" s="85"/>
      <c r="E34" s="85"/>
      <c r="F34" s="86"/>
      <c r="G34" s="32"/>
      <c r="H34" s="32"/>
      <c r="I34" s="32"/>
      <c r="J34" s="32"/>
      <c r="K34" s="32"/>
      <c r="L34" s="32"/>
      <c r="M34" s="32"/>
      <c r="N34" s="32"/>
      <c r="O34" s="32"/>
      <c r="P34" s="32"/>
      <c r="Q34" s="32"/>
      <c r="R34" s="32"/>
      <c r="S34" s="32"/>
      <c r="T34" s="28"/>
      <c r="U34" s="35"/>
      <c r="V34" s="35"/>
      <c r="W34" s="35"/>
    </row>
    <row r="35" spans="2:23" ht="14.65" thickBot="1" x14ac:dyDescent="0.5">
      <c r="B35" s="27"/>
      <c r="C35" s="32"/>
      <c r="D35" s="32"/>
      <c r="E35" s="32"/>
      <c r="F35" s="32"/>
      <c r="G35" s="32"/>
      <c r="H35" s="32"/>
      <c r="I35" s="32"/>
      <c r="J35" s="32"/>
      <c r="K35" s="32"/>
      <c r="L35" s="32"/>
      <c r="M35" s="32"/>
      <c r="N35" s="32"/>
      <c r="O35" s="32"/>
      <c r="P35" s="32"/>
      <c r="Q35" s="32"/>
      <c r="R35" s="32"/>
      <c r="S35" s="32"/>
      <c r="T35" s="28"/>
      <c r="U35" s="35"/>
      <c r="V35" s="35"/>
      <c r="W35" s="35"/>
    </row>
    <row r="36" spans="2:23" x14ac:dyDescent="0.45">
      <c r="B36" s="27"/>
      <c r="C36" s="32"/>
      <c r="D36" s="24"/>
      <c r="E36" s="25"/>
      <c r="F36" s="26"/>
      <c r="G36" s="32"/>
      <c r="H36" s="32"/>
      <c r="I36" s="32"/>
      <c r="J36" s="32"/>
      <c r="K36" s="32"/>
      <c r="L36" s="32"/>
      <c r="M36" s="32"/>
      <c r="N36" s="32"/>
      <c r="O36" s="32"/>
      <c r="P36" s="32"/>
      <c r="Q36" s="32"/>
      <c r="R36" s="32"/>
      <c r="S36" s="32"/>
      <c r="T36" s="28"/>
      <c r="U36" s="35"/>
      <c r="V36" s="35"/>
      <c r="W36" s="35"/>
    </row>
    <row r="37" spans="2:23" x14ac:dyDescent="0.45">
      <c r="B37" s="27"/>
      <c r="C37" s="32"/>
      <c r="D37" s="27"/>
      <c r="E37" s="32"/>
      <c r="F37" s="28"/>
      <c r="G37" s="32"/>
      <c r="H37" s="32"/>
      <c r="I37" s="32"/>
      <c r="J37" s="32"/>
      <c r="K37" s="32"/>
      <c r="L37" s="32"/>
      <c r="M37" s="32"/>
      <c r="N37" s="32"/>
      <c r="O37" s="32"/>
      <c r="P37" s="32"/>
      <c r="Q37" s="32"/>
      <c r="R37" s="32"/>
      <c r="S37" s="32"/>
      <c r="T37" s="28"/>
      <c r="U37" s="35"/>
      <c r="V37" s="35"/>
      <c r="W37" s="35"/>
    </row>
    <row r="38" spans="2:23" ht="29.25" x14ac:dyDescent="0.45">
      <c r="B38" s="27"/>
      <c r="C38" s="32"/>
      <c r="D38" s="36"/>
      <c r="E38" s="34" t="s">
        <v>69</v>
      </c>
      <c r="F38" s="28"/>
      <c r="G38" s="32"/>
      <c r="H38" s="32"/>
      <c r="I38" s="32"/>
      <c r="J38" s="32"/>
      <c r="K38" s="32"/>
      <c r="L38" s="32"/>
      <c r="M38" s="32"/>
      <c r="N38" s="32"/>
      <c r="O38" s="32"/>
      <c r="P38" s="32"/>
      <c r="Q38" s="32"/>
      <c r="R38" s="32"/>
      <c r="S38" s="32"/>
      <c r="T38" s="28"/>
      <c r="U38" s="35"/>
      <c r="V38" s="35"/>
      <c r="W38" s="35"/>
    </row>
    <row r="39" spans="2:23" x14ac:dyDescent="0.45">
      <c r="B39" s="27"/>
      <c r="C39" s="32"/>
      <c r="D39" s="27"/>
      <c r="E39" s="32"/>
      <c r="F39" s="28"/>
      <c r="G39" s="32"/>
      <c r="H39" s="32"/>
      <c r="I39" s="32"/>
      <c r="J39" s="32"/>
      <c r="K39" s="32"/>
      <c r="L39" s="32"/>
      <c r="M39" s="32"/>
      <c r="N39" s="32"/>
      <c r="O39" s="32"/>
      <c r="P39" s="32"/>
      <c r="Q39" s="32"/>
      <c r="R39" s="32"/>
      <c r="S39" s="32"/>
      <c r="T39" s="28"/>
      <c r="U39" s="35"/>
      <c r="V39" s="35"/>
      <c r="W39" s="35"/>
    </row>
    <row r="40" spans="2:23" ht="21" x14ac:dyDescent="0.65">
      <c r="B40" s="27"/>
      <c r="C40" s="32"/>
      <c r="D40" s="27"/>
      <c r="E40" s="37"/>
      <c r="F40" s="28"/>
      <c r="G40" s="32"/>
      <c r="H40" s="32"/>
      <c r="I40" s="32"/>
      <c r="J40" s="32"/>
      <c r="K40" s="32"/>
      <c r="L40" s="32"/>
      <c r="M40" s="32"/>
      <c r="N40" s="32"/>
      <c r="O40" s="32"/>
      <c r="P40" s="32"/>
      <c r="Q40" s="32"/>
      <c r="R40" s="32"/>
      <c r="S40" s="32"/>
      <c r="T40" s="28"/>
      <c r="U40" s="35"/>
      <c r="V40" s="35"/>
      <c r="W40" s="35"/>
    </row>
    <row r="41" spans="2:23" ht="21" x14ac:dyDescent="0.65">
      <c r="B41" s="27"/>
      <c r="C41" s="32"/>
      <c r="D41" s="27"/>
      <c r="E41" s="37" t="str" cm="1">
        <f t="array" ref="E41:E44">_xlfn._xlws.FILTER('Tax rates'!A2:A21,('Tax rates'!B2:B21&lt;Dashboard!G11)*(Transportation!B2:B21&gt;Dashboard!F19)*(Cost_of_living[Overall Monthly Cost (USD)]&lt;Dashboard!G26)*(Healthcare[Healthcare Quality (Rating)]&gt;Dashboard!K11)*('Safety rate'!D2:D21=Dashboard!K19)*(Temperature[Average (°F)]&gt;Dashboard!L26),"No City Found")</f>
        <v>San Francisco, CA</v>
      </c>
      <c r="F41" s="28"/>
      <c r="G41" s="32"/>
      <c r="H41" s="32"/>
      <c r="I41" s="32"/>
      <c r="J41" s="32"/>
      <c r="K41" s="32"/>
      <c r="L41" s="32"/>
      <c r="M41" s="32"/>
      <c r="N41" s="32"/>
      <c r="O41" s="32"/>
      <c r="P41" s="32"/>
      <c r="Q41" s="32"/>
      <c r="R41" s="32"/>
      <c r="S41" s="32"/>
      <c r="T41" s="28"/>
      <c r="U41" s="35"/>
      <c r="V41" s="35"/>
      <c r="W41" s="35"/>
    </row>
    <row r="42" spans="2:23" ht="21" x14ac:dyDescent="0.65">
      <c r="B42" s="27"/>
      <c r="C42" s="32"/>
      <c r="D42" s="27"/>
      <c r="E42" s="37" t="str">
        <v>Seattle, WA</v>
      </c>
      <c r="F42" s="43"/>
      <c r="G42" s="32"/>
      <c r="H42" s="32"/>
      <c r="I42" s="32"/>
      <c r="J42" s="32"/>
      <c r="K42" s="32"/>
      <c r="L42" s="32"/>
      <c r="M42" s="32"/>
      <c r="N42" s="32"/>
      <c r="O42" s="32"/>
      <c r="P42" s="32"/>
      <c r="Q42" s="32"/>
      <c r="R42" s="32"/>
      <c r="S42" s="32"/>
      <c r="T42" s="28"/>
      <c r="U42" s="35"/>
      <c r="V42" s="35"/>
      <c r="W42" s="35"/>
    </row>
    <row r="43" spans="2:23" ht="21" x14ac:dyDescent="0.65">
      <c r="B43" s="27"/>
      <c r="C43" s="32"/>
      <c r="D43" s="27"/>
      <c r="E43" s="37" t="str">
        <v>Tallahassee, FL</v>
      </c>
      <c r="F43" s="28"/>
      <c r="G43" s="32"/>
      <c r="H43" s="32"/>
      <c r="I43" s="32"/>
      <c r="J43" s="32"/>
      <c r="K43" s="32"/>
      <c r="L43" s="32"/>
      <c r="M43" s="32"/>
      <c r="N43" s="32"/>
      <c r="O43" s="32"/>
      <c r="P43" s="32"/>
      <c r="Q43" s="32"/>
      <c r="R43" s="32"/>
      <c r="S43" s="32"/>
      <c r="T43" s="28"/>
      <c r="U43" s="35"/>
      <c r="V43" s="35"/>
      <c r="W43" s="35"/>
    </row>
    <row r="44" spans="2:23" ht="21.4" thickBot="1" x14ac:dyDescent="0.7">
      <c r="B44" s="27"/>
      <c r="C44" s="32"/>
      <c r="D44" s="29"/>
      <c r="E44" s="50" t="str">
        <v>Washington, DC</v>
      </c>
      <c r="F44" s="31"/>
      <c r="G44" s="32"/>
      <c r="H44" s="32"/>
      <c r="I44" s="32"/>
      <c r="J44" s="32"/>
      <c r="K44" s="32"/>
      <c r="L44" s="32"/>
      <c r="M44" s="32"/>
      <c r="N44" s="32"/>
      <c r="O44" s="32"/>
      <c r="P44" s="32"/>
      <c r="Q44" s="32"/>
      <c r="R44" s="32"/>
      <c r="S44" s="32"/>
      <c r="T44" s="28"/>
      <c r="U44" s="35"/>
      <c r="V44" s="35"/>
      <c r="W44" s="35"/>
    </row>
    <row r="45" spans="2:23" x14ac:dyDescent="0.45">
      <c r="B45" s="27"/>
      <c r="C45" s="32"/>
      <c r="D45" s="32"/>
      <c r="E45" s="32"/>
      <c r="F45" s="32"/>
      <c r="G45" s="32"/>
      <c r="H45" s="32"/>
      <c r="I45" s="32"/>
      <c r="J45" s="32"/>
      <c r="K45" s="32"/>
      <c r="L45" s="32"/>
      <c r="M45" s="32"/>
      <c r="N45" s="32"/>
      <c r="O45" s="32"/>
      <c r="P45" s="32"/>
      <c r="Q45" s="32"/>
      <c r="R45" s="32"/>
      <c r="S45" s="32"/>
      <c r="T45" s="28"/>
      <c r="U45" s="35"/>
      <c r="V45" s="35"/>
      <c r="W45" s="35"/>
    </row>
    <row r="46" spans="2:23" ht="14.65" thickBot="1" x14ac:dyDescent="0.5">
      <c r="B46" s="29"/>
      <c r="C46" s="30"/>
      <c r="D46" s="30"/>
      <c r="E46" s="30"/>
      <c r="F46" s="30"/>
      <c r="G46" s="30"/>
      <c r="H46" s="30"/>
      <c r="I46" s="30"/>
      <c r="J46" s="30"/>
      <c r="K46" s="30"/>
      <c r="L46" s="30"/>
      <c r="M46" s="30"/>
      <c r="N46" s="30"/>
      <c r="O46" s="30"/>
      <c r="P46" s="30"/>
      <c r="Q46" s="30"/>
      <c r="R46" s="30"/>
      <c r="S46" s="30"/>
      <c r="T46" s="31"/>
      <c r="U46" s="35"/>
      <c r="V46" s="35"/>
      <c r="W46" s="35"/>
    </row>
    <row r="47" spans="2:23" ht="17.25" customHeight="1" x14ac:dyDescent="0.45">
      <c r="B47" s="35"/>
      <c r="C47" s="35"/>
      <c r="D47" s="35"/>
      <c r="E47" s="35"/>
      <c r="F47" s="35"/>
      <c r="G47" s="35"/>
      <c r="H47" s="35"/>
      <c r="I47" s="35"/>
      <c r="J47" s="35"/>
      <c r="K47" s="35"/>
      <c r="L47" s="35"/>
      <c r="M47" s="35"/>
      <c r="N47" s="35"/>
      <c r="O47" s="35"/>
      <c r="P47" s="35"/>
      <c r="Q47" s="35"/>
      <c r="R47" s="35"/>
      <c r="S47" s="35"/>
      <c r="T47" s="35"/>
      <c r="U47" s="35"/>
      <c r="V47" s="35"/>
      <c r="W47" s="35"/>
    </row>
    <row r="48" spans="2:23" ht="17.25" customHeight="1" x14ac:dyDescent="0.45">
      <c r="B48" s="35"/>
      <c r="C48" s="35"/>
      <c r="D48" s="35"/>
      <c r="E48" s="35"/>
      <c r="F48" s="35"/>
      <c r="G48" s="35"/>
      <c r="H48" s="35"/>
      <c r="I48" s="35"/>
      <c r="J48" s="35"/>
      <c r="K48" s="35"/>
      <c r="L48" s="35"/>
      <c r="M48" s="35"/>
      <c r="N48" s="35"/>
      <c r="O48" s="35"/>
      <c r="P48" s="35"/>
      <c r="Q48" s="35"/>
      <c r="R48" s="35"/>
      <c r="S48" s="35"/>
      <c r="T48" s="35"/>
      <c r="U48" s="35"/>
      <c r="V48" s="35"/>
      <c r="W48" s="35"/>
    </row>
    <row r="49" spans="2:23" ht="17.25" customHeight="1" x14ac:dyDescent="0.45">
      <c r="B49" s="35"/>
      <c r="C49" s="35"/>
      <c r="D49" s="35"/>
      <c r="E49" s="35"/>
      <c r="F49" s="35"/>
      <c r="G49" s="35"/>
      <c r="H49" s="35"/>
      <c r="I49" s="35"/>
      <c r="J49" s="35"/>
      <c r="K49" s="35"/>
      <c r="L49" s="35"/>
      <c r="M49" s="35"/>
      <c r="N49" s="35"/>
      <c r="O49" s="35"/>
      <c r="P49" s="35"/>
      <c r="Q49" s="35"/>
      <c r="R49" s="35"/>
      <c r="S49" s="35"/>
      <c r="T49" s="35"/>
      <c r="U49" s="35"/>
      <c r="V49" s="35"/>
      <c r="W49" s="35"/>
    </row>
    <row r="50" spans="2:23" ht="17.25" customHeight="1" x14ac:dyDescent="0.45">
      <c r="B50" s="35"/>
      <c r="C50" s="35"/>
      <c r="D50" s="35"/>
      <c r="E50" s="35"/>
      <c r="F50" s="35"/>
      <c r="G50" s="35"/>
      <c r="H50" s="35"/>
      <c r="I50" s="35"/>
      <c r="J50" s="35"/>
      <c r="K50" s="35"/>
      <c r="L50" s="35"/>
      <c r="M50" s="35"/>
      <c r="N50" s="35"/>
      <c r="O50" s="35"/>
      <c r="P50" s="35"/>
      <c r="Q50" s="35"/>
      <c r="R50" s="35"/>
      <c r="S50" s="35"/>
      <c r="T50" s="35"/>
      <c r="U50" s="35"/>
      <c r="V50" s="35"/>
      <c r="W50" s="35"/>
    </row>
    <row r="51" spans="2:23" x14ac:dyDescent="0.45">
      <c r="B51" s="35"/>
      <c r="C51" s="35"/>
      <c r="D51" s="35"/>
      <c r="E51" s="35"/>
      <c r="F51" s="35"/>
      <c r="G51" s="35"/>
      <c r="H51" s="35"/>
      <c r="I51" s="35"/>
      <c r="J51" s="35"/>
      <c r="K51" s="35"/>
      <c r="L51" s="35"/>
      <c r="M51" s="35"/>
      <c r="N51" s="35"/>
      <c r="O51" s="35"/>
      <c r="P51" s="35"/>
      <c r="Q51" s="35"/>
      <c r="R51" s="35"/>
      <c r="S51" s="35"/>
      <c r="T51" s="35"/>
      <c r="U51" s="35"/>
      <c r="V51" s="35"/>
      <c r="W51" s="35"/>
    </row>
    <row r="52" spans="2:23" x14ac:dyDescent="0.45">
      <c r="B52" s="35"/>
      <c r="C52" s="35"/>
      <c r="D52" s="35"/>
      <c r="E52" s="35"/>
      <c r="F52" s="35"/>
      <c r="G52" s="35"/>
      <c r="H52" s="35"/>
      <c r="I52" s="35"/>
      <c r="J52" s="35"/>
      <c r="K52" s="35"/>
      <c r="L52" s="35"/>
      <c r="M52" s="35"/>
      <c r="N52" s="35"/>
      <c r="O52" s="35"/>
      <c r="P52" s="35"/>
      <c r="Q52" s="35"/>
      <c r="R52" s="35"/>
      <c r="S52" s="35"/>
      <c r="T52" s="35"/>
      <c r="U52" s="35"/>
      <c r="V52" s="35"/>
      <c r="W52" s="35"/>
    </row>
    <row r="53" spans="2:23" x14ac:dyDescent="0.45">
      <c r="B53" s="35"/>
      <c r="C53" s="35"/>
      <c r="D53" s="35"/>
      <c r="E53" s="35"/>
      <c r="F53" s="35"/>
      <c r="G53" s="35"/>
      <c r="H53" s="35"/>
      <c r="I53" s="35"/>
      <c r="J53" s="35"/>
      <c r="K53" s="35"/>
      <c r="L53" s="35"/>
      <c r="M53" s="35"/>
      <c r="N53" s="35"/>
      <c r="O53" s="35"/>
      <c r="P53" s="35"/>
      <c r="Q53" s="35"/>
      <c r="R53" s="35"/>
      <c r="S53" s="35"/>
      <c r="T53" s="35"/>
      <c r="U53" s="35"/>
      <c r="V53" s="35"/>
      <c r="W53" s="35"/>
    </row>
  </sheetData>
  <mergeCells count="3">
    <mergeCell ref="C32:F34"/>
    <mergeCell ref="K23:S24"/>
    <mergeCell ref="D2:Q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29658-02D9-4185-AF08-E3E207921930}">
  <sheetPr codeName="Sheet3"/>
  <dimension ref="A1:F47"/>
  <sheetViews>
    <sheetView workbookViewId="0">
      <selection activeCell="D28" sqref="D28"/>
    </sheetView>
  </sheetViews>
  <sheetFormatPr defaultColWidth="8.796875" defaultRowHeight="14.25" x14ac:dyDescent="0.45"/>
  <cols>
    <col min="1" max="1" width="19.59765625" bestFit="1" customWidth="1"/>
    <col min="2" max="2" width="20.06640625" bestFit="1" customWidth="1"/>
    <col min="5" max="5" width="14.796875" bestFit="1" customWidth="1"/>
    <col min="6" max="6" width="20.06640625" bestFit="1" customWidth="1"/>
    <col min="7" max="7" width="16.265625" bestFit="1" customWidth="1"/>
  </cols>
  <sheetData>
    <row r="1" spans="1:2" x14ac:dyDescent="0.45">
      <c r="A1" s="17" t="s">
        <v>0</v>
      </c>
      <c r="B1" s="17" t="s">
        <v>21</v>
      </c>
    </row>
    <row r="2" spans="1:2" x14ac:dyDescent="0.45">
      <c r="A2" s="13" t="s">
        <v>17</v>
      </c>
      <c r="B2" s="15">
        <v>0.06</v>
      </c>
    </row>
    <row r="3" spans="1:2" x14ac:dyDescent="0.45">
      <c r="A3" s="13" t="s">
        <v>20</v>
      </c>
      <c r="B3" s="15">
        <v>0.05</v>
      </c>
    </row>
    <row r="4" spans="1:2" x14ac:dyDescent="0.45">
      <c r="A4" s="14" t="s">
        <v>9</v>
      </c>
      <c r="B4" s="16">
        <v>0.06</v>
      </c>
    </row>
    <row r="5" spans="1:2" x14ac:dyDescent="0.45">
      <c r="A5" s="14" t="s">
        <v>6</v>
      </c>
      <c r="B5" s="16">
        <v>0.06</v>
      </c>
    </row>
    <row r="6" spans="1:2" x14ac:dyDescent="0.45">
      <c r="A6" s="14" t="s">
        <v>15</v>
      </c>
      <c r="B6" s="16">
        <v>0.05</v>
      </c>
    </row>
    <row r="7" spans="1:2" x14ac:dyDescent="0.45">
      <c r="A7" s="13" t="s">
        <v>4</v>
      </c>
      <c r="B7" s="15">
        <v>0.06</v>
      </c>
    </row>
    <row r="8" spans="1:2" x14ac:dyDescent="0.45">
      <c r="A8" s="14" t="s">
        <v>18</v>
      </c>
      <c r="B8" s="16">
        <v>0.06</v>
      </c>
    </row>
    <row r="9" spans="1:2" x14ac:dyDescent="0.45">
      <c r="A9" s="13" t="s">
        <v>3</v>
      </c>
      <c r="B9" s="15">
        <v>0.05</v>
      </c>
    </row>
    <row r="10" spans="1:2" ht="28.5" x14ac:dyDescent="0.45">
      <c r="A10" s="14" t="s">
        <v>8</v>
      </c>
      <c r="B10" s="16">
        <v>0.05</v>
      </c>
    </row>
    <row r="11" spans="1:2" x14ac:dyDescent="0.45">
      <c r="A11" s="13" t="s">
        <v>2</v>
      </c>
      <c r="B11" s="15">
        <v>7.0000000000000007E-2</v>
      </c>
    </row>
    <row r="12" spans="1:2" x14ac:dyDescent="0.45">
      <c r="A12" s="14" t="s">
        <v>16</v>
      </c>
      <c r="B12" s="16">
        <v>0.04</v>
      </c>
    </row>
    <row r="13" spans="1:2" x14ac:dyDescent="0.45">
      <c r="A13" s="13" t="s">
        <v>10</v>
      </c>
      <c r="B13" s="15">
        <v>0.04</v>
      </c>
    </row>
    <row r="14" spans="1:2" x14ac:dyDescent="0.45">
      <c r="A14" s="14" t="s">
        <v>5</v>
      </c>
      <c r="B14" s="16">
        <v>0.1</v>
      </c>
    </row>
    <row r="15" spans="1:2" x14ac:dyDescent="0.45">
      <c r="A15" s="13" t="s">
        <v>14</v>
      </c>
      <c r="B15" s="15">
        <v>0.05</v>
      </c>
    </row>
    <row r="16" spans="1:2" x14ac:dyDescent="0.45">
      <c r="A16" s="14" t="s">
        <v>13</v>
      </c>
      <c r="B16" s="16">
        <v>0.09</v>
      </c>
    </row>
    <row r="17" spans="1:6" x14ac:dyDescent="0.45">
      <c r="A17" s="13" t="s">
        <v>19</v>
      </c>
      <c r="B17" s="15">
        <v>0.09</v>
      </c>
    </row>
    <row r="18" spans="1:6" x14ac:dyDescent="0.45">
      <c r="A18" s="14" t="s">
        <v>12</v>
      </c>
      <c r="B18" s="16">
        <v>7.0000000000000007E-2</v>
      </c>
    </row>
    <row r="19" spans="1:6" x14ac:dyDescent="0.45">
      <c r="A19" s="14" t="s">
        <v>1</v>
      </c>
      <c r="B19" s="16">
        <v>0.06</v>
      </c>
    </row>
    <row r="20" spans="1:6" x14ac:dyDescent="0.45">
      <c r="A20" s="13" t="s">
        <v>7</v>
      </c>
      <c r="B20" s="15">
        <v>0.06</v>
      </c>
    </row>
    <row r="21" spans="1:6" x14ac:dyDescent="0.45">
      <c r="A21" s="13" t="s">
        <v>11</v>
      </c>
      <c r="B21" s="15">
        <v>0.08</v>
      </c>
    </row>
    <row r="25" spans="1:6" x14ac:dyDescent="0.45">
      <c r="E25" s="18" t="s">
        <v>61</v>
      </c>
      <c r="F25" t="s">
        <v>63</v>
      </c>
    </row>
    <row r="26" spans="1:6" x14ac:dyDescent="0.45">
      <c r="A26" s="18" t="s">
        <v>64</v>
      </c>
      <c r="B26" t="s">
        <v>63</v>
      </c>
      <c r="E26" s="10" t="s">
        <v>13</v>
      </c>
      <c r="F26" s="22">
        <v>0.09</v>
      </c>
    </row>
    <row r="27" spans="1:6" x14ac:dyDescent="0.45">
      <c r="A27" s="10" t="s">
        <v>17</v>
      </c>
      <c r="B27">
        <v>0.06</v>
      </c>
      <c r="E27" s="10" t="s">
        <v>12</v>
      </c>
      <c r="F27" s="22">
        <v>7.0000000000000007E-2</v>
      </c>
    </row>
    <row r="28" spans="1:6" x14ac:dyDescent="0.45">
      <c r="A28" s="10" t="s">
        <v>20</v>
      </c>
      <c r="B28">
        <v>0.05</v>
      </c>
      <c r="E28" s="10" t="s">
        <v>1</v>
      </c>
      <c r="F28" s="22">
        <v>0.06</v>
      </c>
    </row>
    <row r="29" spans="1:6" x14ac:dyDescent="0.45">
      <c r="A29" s="10" t="s">
        <v>9</v>
      </c>
      <c r="B29">
        <v>0.06</v>
      </c>
      <c r="E29" s="10" t="s">
        <v>11</v>
      </c>
      <c r="F29" s="22">
        <v>0.08</v>
      </c>
    </row>
    <row r="30" spans="1:6" x14ac:dyDescent="0.45">
      <c r="A30" s="10" t="s">
        <v>6</v>
      </c>
      <c r="B30">
        <v>0.06</v>
      </c>
      <c r="E30" s="10" t="s">
        <v>62</v>
      </c>
      <c r="F30" s="22">
        <v>0.06</v>
      </c>
    </row>
    <row r="31" spans="1:6" x14ac:dyDescent="0.45">
      <c r="A31" s="10" t="s">
        <v>15</v>
      </c>
      <c r="B31">
        <v>0.05</v>
      </c>
    </row>
    <row r="32" spans="1:6" x14ac:dyDescent="0.45">
      <c r="A32" s="10" t="s">
        <v>4</v>
      </c>
      <c r="B32">
        <v>0.06</v>
      </c>
    </row>
    <row r="33" spans="1:2" x14ac:dyDescent="0.45">
      <c r="A33" s="10" t="s">
        <v>18</v>
      </c>
      <c r="B33">
        <v>0.06</v>
      </c>
    </row>
    <row r="34" spans="1:2" x14ac:dyDescent="0.45">
      <c r="A34" s="10" t="s">
        <v>3</v>
      </c>
      <c r="B34">
        <v>0.05</v>
      </c>
    </row>
    <row r="35" spans="1:2" x14ac:dyDescent="0.45">
      <c r="A35" s="10" t="s">
        <v>8</v>
      </c>
      <c r="B35">
        <v>0.05</v>
      </c>
    </row>
    <row r="36" spans="1:2" x14ac:dyDescent="0.45">
      <c r="A36" s="10" t="s">
        <v>2</v>
      </c>
      <c r="B36">
        <v>7.0000000000000007E-2</v>
      </c>
    </row>
    <row r="37" spans="1:2" x14ac:dyDescent="0.45">
      <c r="A37" s="10" t="s">
        <v>16</v>
      </c>
      <c r="B37">
        <v>0.04</v>
      </c>
    </row>
    <row r="38" spans="1:2" x14ac:dyDescent="0.45">
      <c r="A38" s="10" t="s">
        <v>10</v>
      </c>
      <c r="B38">
        <v>0.04</v>
      </c>
    </row>
    <row r="39" spans="1:2" x14ac:dyDescent="0.45">
      <c r="A39" s="10" t="s">
        <v>5</v>
      </c>
      <c r="B39">
        <v>0.1</v>
      </c>
    </row>
    <row r="40" spans="1:2" x14ac:dyDescent="0.45">
      <c r="A40" s="10" t="s">
        <v>14</v>
      </c>
      <c r="B40">
        <v>0.05</v>
      </c>
    </row>
    <row r="41" spans="1:2" x14ac:dyDescent="0.45">
      <c r="A41" s="10" t="s">
        <v>13</v>
      </c>
      <c r="B41">
        <v>0.09</v>
      </c>
    </row>
    <row r="42" spans="1:2" x14ac:dyDescent="0.45">
      <c r="A42" s="10" t="s">
        <v>19</v>
      </c>
      <c r="B42">
        <v>0.09</v>
      </c>
    </row>
    <row r="43" spans="1:2" x14ac:dyDescent="0.45">
      <c r="A43" s="10" t="s">
        <v>12</v>
      </c>
      <c r="B43">
        <v>7.0000000000000007E-2</v>
      </c>
    </row>
    <row r="44" spans="1:2" x14ac:dyDescent="0.45">
      <c r="A44" s="10" t="s">
        <v>1</v>
      </c>
      <c r="B44">
        <v>0.06</v>
      </c>
    </row>
    <row r="45" spans="1:2" x14ac:dyDescent="0.45">
      <c r="A45" s="10" t="s">
        <v>7</v>
      </c>
      <c r="B45">
        <v>0.06</v>
      </c>
    </row>
    <row r="46" spans="1:2" x14ac:dyDescent="0.45">
      <c r="A46" s="10" t="s">
        <v>11</v>
      </c>
      <c r="B46">
        <v>0.08</v>
      </c>
    </row>
    <row r="47" spans="1:2" x14ac:dyDescent="0.45">
      <c r="A47" s="10" t="s">
        <v>62</v>
      </c>
      <c r="B47">
        <v>0.04</v>
      </c>
    </row>
  </sheetData>
  <pageMargins left="0.7" right="0.7" top="0.75" bottom="0.75" header="0.3" footer="0.3"/>
  <pageSetup orientation="portrait" r:id="rId3"/>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D20EE-DE82-450D-9A6D-6005EF27A197}">
  <sheetPr codeName="Sheet4"/>
  <dimension ref="A1:B21"/>
  <sheetViews>
    <sheetView workbookViewId="0">
      <selection activeCell="A2" sqref="A2"/>
    </sheetView>
  </sheetViews>
  <sheetFormatPr defaultColWidth="8.796875" defaultRowHeight="14.25" x14ac:dyDescent="0.45"/>
  <cols>
    <col min="1" max="1" width="26.9296875" customWidth="1"/>
    <col min="2" max="2" width="14.59765625" bestFit="1" customWidth="1"/>
  </cols>
  <sheetData>
    <row r="1" spans="1:2" x14ac:dyDescent="0.45">
      <c r="A1" s="1" t="s">
        <v>0</v>
      </c>
      <c r="B1" s="1" t="s">
        <v>22</v>
      </c>
    </row>
    <row r="2" spans="1:2" x14ac:dyDescent="0.45">
      <c r="A2" s="2" t="s">
        <v>16</v>
      </c>
      <c r="B2" s="19">
        <v>30</v>
      </c>
    </row>
    <row r="3" spans="1:2" x14ac:dyDescent="0.45">
      <c r="A3" s="2" t="s">
        <v>10</v>
      </c>
      <c r="B3" s="19">
        <v>30</v>
      </c>
    </row>
    <row r="4" spans="1:2" x14ac:dyDescent="0.45">
      <c r="A4" s="2" t="s">
        <v>1</v>
      </c>
      <c r="B4" s="19">
        <v>30</v>
      </c>
    </row>
    <row r="5" spans="1:2" x14ac:dyDescent="0.45">
      <c r="A5" s="2" t="s">
        <v>3</v>
      </c>
      <c r="B5" s="19">
        <v>35</v>
      </c>
    </row>
    <row r="6" spans="1:2" x14ac:dyDescent="0.45">
      <c r="A6" s="2" t="s">
        <v>15</v>
      </c>
      <c r="B6" s="19">
        <v>40</v>
      </c>
    </row>
    <row r="7" spans="1:2" x14ac:dyDescent="0.45">
      <c r="A7" s="2" t="s">
        <v>4</v>
      </c>
      <c r="B7" s="19">
        <v>40</v>
      </c>
    </row>
    <row r="8" spans="1:2" x14ac:dyDescent="0.45">
      <c r="A8" s="2" t="s">
        <v>7</v>
      </c>
      <c r="B8" s="19">
        <v>40</v>
      </c>
    </row>
    <row r="9" spans="1:2" x14ac:dyDescent="0.45">
      <c r="A9" s="2" t="s">
        <v>8</v>
      </c>
      <c r="B9" s="19">
        <v>45</v>
      </c>
    </row>
    <row r="10" spans="1:2" x14ac:dyDescent="0.45">
      <c r="A10" s="2" t="s">
        <v>14</v>
      </c>
      <c r="B10" s="19">
        <v>45</v>
      </c>
    </row>
    <row r="11" spans="1:2" x14ac:dyDescent="0.45">
      <c r="A11" s="2" t="s">
        <v>17</v>
      </c>
      <c r="B11" s="19">
        <v>50</v>
      </c>
    </row>
    <row r="12" spans="1:2" x14ac:dyDescent="0.45">
      <c r="A12" s="2" t="s">
        <v>6</v>
      </c>
      <c r="B12" s="19">
        <v>50</v>
      </c>
    </row>
    <row r="13" spans="1:2" x14ac:dyDescent="0.45">
      <c r="A13" s="2" t="s">
        <v>18</v>
      </c>
      <c r="B13" s="19">
        <v>50</v>
      </c>
    </row>
    <row r="14" spans="1:2" x14ac:dyDescent="0.45">
      <c r="A14" s="2" t="s">
        <v>2</v>
      </c>
      <c r="B14" s="19">
        <v>50</v>
      </c>
    </row>
    <row r="15" spans="1:2" x14ac:dyDescent="0.45">
      <c r="A15" s="2" t="s">
        <v>20</v>
      </c>
      <c r="B15" s="19">
        <v>55</v>
      </c>
    </row>
    <row r="16" spans="1:2" x14ac:dyDescent="0.45">
      <c r="A16" s="2" t="s">
        <v>9</v>
      </c>
      <c r="B16" s="19">
        <v>60</v>
      </c>
    </row>
    <row r="17" spans="1:2" x14ac:dyDescent="0.45">
      <c r="A17" s="2" t="s">
        <v>12</v>
      </c>
      <c r="B17" s="19">
        <v>70</v>
      </c>
    </row>
    <row r="18" spans="1:2" x14ac:dyDescent="0.45">
      <c r="A18" s="2" t="s">
        <v>19</v>
      </c>
      <c r="B18" s="19">
        <v>75</v>
      </c>
    </row>
    <row r="19" spans="1:2" x14ac:dyDescent="0.45">
      <c r="A19" s="2" t="s">
        <v>13</v>
      </c>
      <c r="B19" s="19">
        <v>80</v>
      </c>
    </row>
    <row r="20" spans="1:2" x14ac:dyDescent="0.45">
      <c r="A20" s="2" t="s">
        <v>11</v>
      </c>
      <c r="B20" s="19">
        <v>85</v>
      </c>
    </row>
    <row r="21" spans="1:2" x14ac:dyDescent="0.45">
      <c r="A21" s="2" t="s">
        <v>5</v>
      </c>
      <c r="B21" s="19">
        <v>90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7A11D-FCE4-4562-B152-7FA8FB4F49BE}">
  <sheetPr codeName="Sheet5"/>
  <dimension ref="A1:K29"/>
  <sheetViews>
    <sheetView workbookViewId="0">
      <selection activeCell="B27" sqref="B27"/>
    </sheetView>
  </sheetViews>
  <sheetFormatPr defaultColWidth="8.796875" defaultRowHeight="14.25" x14ac:dyDescent="0.45"/>
  <cols>
    <col min="1" max="1" width="14.796875" bestFit="1" customWidth="1"/>
    <col min="2" max="2" width="25.06640625" bestFit="1" customWidth="1"/>
    <col min="3" max="3" width="14.796875" customWidth="1"/>
    <col min="4" max="4" width="21" customWidth="1"/>
    <col min="5" max="5" width="16.6640625" customWidth="1"/>
    <col min="6" max="6" width="26.46484375" customWidth="1"/>
    <col min="11" max="11" width="11.1328125" bestFit="1" customWidth="1"/>
  </cols>
  <sheetData>
    <row r="1" spans="1:11" x14ac:dyDescent="0.45">
      <c r="A1" s="1" t="s">
        <v>0</v>
      </c>
      <c r="B1" s="1" t="s">
        <v>25</v>
      </c>
      <c r="C1" s="1" t="s">
        <v>26</v>
      </c>
      <c r="D1" s="1" t="s">
        <v>27</v>
      </c>
      <c r="E1" s="1" t="s">
        <v>28</v>
      </c>
      <c r="F1" s="1" t="s">
        <v>29</v>
      </c>
      <c r="K1" t="s">
        <v>50</v>
      </c>
    </row>
    <row r="2" spans="1:11" ht="28.5" x14ac:dyDescent="0.45">
      <c r="A2" s="2" t="s">
        <v>1</v>
      </c>
      <c r="B2" s="3">
        <v>1200</v>
      </c>
      <c r="C2" s="3">
        <v>200</v>
      </c>
      <c r="D2" s="3">
        <v>100</v>
      </c>
      <c r="E2" s="3">
        <v>400</v>
      </c>
      <c r="F2" s="3">
        <v>1900</v>
      </c>
      <c r="K2" s="9">
        <v>2000</v>
      </c>
    </row>
    <row r="3" spans="1:11" x14ac:dyDescent="0.45">
      <c r="A3" s="2" t="s">
        <v>2</v>
      </c>
      <c r="B3" s="3">
        <v>1400</v>
      </c>
      <c r="C3" s="3">
        <v>250</v>
      </c>
      <c r="D3" s="3">
        <v>120</v>
      </c>
      <c r="E3" s="3">
        <v>430</v>
      </c>
      <c r="F3" s="3">
        <v>2200</v>
      </c>
      <c r="K3" s="9">
        <v>2500</v>
      </c>
    </row>
    <row r="4" spans="1:11" ht="28.5" x14ac:dyDescent="0.45">
      <c r="A4" s="2" t="s">
        <v>3</v>
      </c>
      <c r="B4" s="3">
        <v>1000</v>
      </c>
      <c r="C4" s="3">
        <v>180</v>
      </c>
      <c r="D4" s="3">
        <v>120</v>
      </c>
      <c r="E4" s="3">
        <v>400</v>
      </c>
      <c r="F4" s="3">
        <v>1700</v>
      </c>
      <c r="K4" s="9">
        <v>3000</v>
      </c>
    </row>
    <row r="5" spans="1:11" ht="28.5" x14ac:dyDescent="0.45">
      <c r="A5" s="2" t="s">
        <v>4</v>
      </c>
      <c r="B5" s="3">
        <v>1300</v>
      </c>
      <c r="C5" s="3">
        <v>200</v>
      </c>
      <c r="D5" s="3">
        <v>150</v>
      </c>
      <c r="E5" s="3">
        <v>400</v>
      </c>
      <c r="F5" s="3">
        <v>2200</v>
      </c>
      <c r="K5" s="9">
        <v>3500</v>
      </c>
    </row>
    <row r="6" spans="1:11" ht="28.5" x14ac:dyDescent="0.45">
      <c r="A6" s="2" t="s">
        <v>5</v>
      </c>
      <c r="B6" s="3">
        <v>2800</v>
      </c>
      <c r="C6" s="3">
        <v>250</v>
      </c>
      <c r="D6" s="3">
        <v>150</v>
      </c>
      <c r="E6" s="3">
        <v>600</v>
      </c>
      <c r="F6" s="3">
        <v>4000</v>
      </c>
      <c r="K6" s="9">
        <v>4000</v>
      </c>
    </row>
    <row r="7" spans="1:11" x14ac:dyDescent="0.45">
      <c r="A7" s="2" t="s">
        <v>6</v>
      </c>
      <c r="B7" s="3">
        <v>1800</v>
      </c>
      <c r="C7" s="3">
        <v>200</v>
      </c>
      <c r="D7" s="3">
        <v>150</v>
      </c>
      <c r="E7" s="3">
        <v>450</v>
      </c>
      <c r="F7" s="3">
        <v>2500</v>
      </c>
      <c r="K7" t="s">
        <v>60</v>
      </c>
    </row>
    <row r="8" spans="1:11" x14ac:dyDescent="0.45">
      <c r="A8" s="2" t="s">
        <v>7</v>
      </c>
      <c r="B8" s="3">
        <v>1400</v>
      </c>
      <c r="C8" s="3">
        <v>200</v>
      </c>
      <c r="D8" s="3">
        <v>150</v>
      </c>
      <c r="E8" s="3">
        <v>350</v>
      </c>
      <c r="F8" s="3">
        <v>2100</v>
      </c>
    </row>
    <row r="9" spans="1:11" ht="42.75" x14ac:dyDescent="0.45">
      <c r="A9" s="2" t="s">
        <v>8</v>
      </c>
      <c r="B9" s="3">
        <v>1300</v>
      </c>
      <c r="C9" s="3">
        <v>180</v>
      </c>
      <c r="D9" s="3">
        <v>120</v>
      </c>
      <c r="E9" s="3">
        <v>400</v>
      </c>
      <c r="F9" s="3">
        <v>2200</v>
      </c>
    </row>
    <row r="10" spans="1:11" ht="28.5" x14ac:dyDescent="0.45">
      <c r="A10" s="2" t="s">
        <v>9</v>
      </c>
      <c r="B10" s="3">
        <v>1700</v>
      </c>
      <c r="C10" s="3">
        <v>230</v>
      </c>
      <c r="D10" s="3">
        <v>140</v>
      </c>
      <c r="E10" s="3">
        <v>430</v>
      </c>
      <c r="F10" s="3">
        <v>2500</v>
      </c>
    </row>
    <row r="11" spans="1:11" x14ac:dyDescent="0.45">
      <c r="A11" s="2" t="s">
        <v>10</v>
      </c>
      <c r="B11" s="3">
        <v>1000</v>
      </c>
      <c r="C11" s="3">
        <v>180</v>
      </c>
      <c r="D11" s="3">
        <v>100</v>
      </c>
      <c r="E11" s="3">
        <v>400</v>
      </c>
      <c r="F11" s="3">
        <v>1900</v>
      </c>
    </row>
    <row r="12" spans="1:11" ht="28.5" x14ac:dyDescent="0.45">
      <c r="A12" s="2" t="s">
        <v>11</v>
      </c>
      <c r="B12" s="3">
        <v>2300</v>
      </c>
      <c r="C12" s="3">
        <v>250</v>
      </c>
      <c r="D12" s="3">
        <v>150</v>
      </c>
      <c r="E12" s="3">
        <v>450</v>
      </c>
      <c r="F12" s="3">
        <v>3100</v>
      </c>
    </row>
    <row r="13" spans="1:11" x14ac:dyDescent="0.45">
      <c r="A13" s="2" t="s">
        <v>12</v>
      </c>
      <c r="B13" s="3">
        <v>2200</v>
      </c>
      <c r="C13" s="3">
        <v>250</v>
      </c>
      <c r="D13" s="3">
        <v>150</v>
      </c>
      <c r="E13" s="3">
        <v>300</v>
      </c>
      <c r="F13" s="3">
        <v>2900</v>
      </c>
    </row>
    <row r="14" spans="1:11" ht="28.5" x14ac:dyDescent="0.45">
      <c r="A14" s="2" t="s">
        <v>13</v>
      </c>
      <c r="B14" s="3">
        <v>2800</v>
      </c>
      <c r="C14" s="3">
        <v>200</v>
      </c>
      <c r="D14" s="3">
        <v>200</v>
      </c>
      <c r="E14" s="3">
        <v>600</v>
      </c>
      <c r="F14" s="3">
        <v>3800</v>
      </c>
    </row>
    <row r="15" spans="1:11" x14ac:dyDescent="0.45">
      <c r="A15" s="2" t="s">
        <v>14</v>
      </c>
      <c r="B15" s="3">
        <v>1300</v>
      </c>
      <c r="C15" s="3">
        <v>180</v>
      </c>
      <c r="D15" s="3">
        <v>120</v>
      </c>
      <c r="E15" s="3">
        <v>400</v>
      </c>
      <c r="F15" s="3">
        <v>2100</v>
      </c>
    </row>
    <row r="16" spans="1:11" x14ac:dyDescent="0.45">
      <c r="A16" s="2" t="s">
        <v>15</v>
      </c>
      <c r="B16" s="3">
        <v>1500</v>
      </c>
      <c r="C16" s="3">
        <v>200</v>
      </c>
      <c r="D16" s="3">
        <v>150</v>
      </c>
      <c r="E16" s="3">
        <v>400</v>
      </c>
      <c r="F16" s="3">
        <v>2600</v>
      </c>
    </row>
    <row r="17" spans="1:6" x14ac:dyDescent="0.45">
      <c r="A17" s="2" t="s">
        <v>16</v>
      </c>
      <c r="B17" s="3">
        <v>1000</v>
      </c>
      <c r="C17" s="3">
        <v>180</v>
      </c>
      <c r="D17" s="3">
        <v>120</v>
      </c>
      <c r="E17" s="3">
        <v>400</v>
      </c>
      <c r="F17" s="3">
        <v>1800</v>
      </c>
    </row>
    <row r="18" spans="1:6" x14ac:dyDescent="0.45">
      <c r="A18" s="2" t="s">
        <v>17</v>
      </c>
      <c r="B18" s="3">
        <v>1800</v>
      </c>
      <c r="C18" s="3">
        <v>250</v>
      </c>
      <c r="D18" s="3">
        <v>150</v>
      </c>
      <c r="E18" s="3">
        <v>500</v>
      </c>
      <c r="F18" s="3">
        <v>2700</v>
      </c>
    </row>
    <row r="19" spans="1:6" x14ac:dyDescent="0.45">
      <c r="A19" s="2" t="s">
        <v>18</v>
      </c>
      <c r="B19" s="3">
        <v>1600</v>
      </c>
      <c r="C19" s="3">
        <v>230</v>
      </c>
      <c r="D19" s="3">
        <v>150</v>
      </c>
      <c r="E19" s="3">
        <v>500</v>
      </c>
      <c r="F19" s="3">
        <v>2500</v>
      </c>
    </row>
    <row r="20" spans="1:6" x14ac:dyDescent="0.45">
      <c r="A20" s="2" t="s">
        <v>19</v>
      </c>
      <c r="B20" s="3">
        <v>2500</v>
      </c>
      <c r="C20" s="3">
        <v>250</v>
      </c>
      <c r="D20" s="3">
        <v>150</v>
      </c>
      <c r="E20" s="3">
        <v>500</v>
      </c>
      <c r="F20" s="3">
        <v>3600</v>
      </c>
    </row>
    <row r="21" spans="1:6" x14ac:dyDescent="0.45">
      <c r="A21" s="2" t="s">
        <v>20</v>
      </c>
      <c r="B21" s="3">
        <v>1600</v>
      </c>
      <c r="C21" s="3">
        <v>230</v>
      </c>
      <c r="D21" s="3">
        <v>150</v>
      </c>
      <c r="E21" s="3">
        <v>500</v>
      </c>
      <c r="F21" s="3">
        <v>2600</v>
      </c>
    </row>
    <row r="24" spans="1:6" x14ac:dyDescent="0.45">
      <c r="A24" s="18" t="s">
        <v>61</v>
      </c>
      <c r="B24" t="s">
        <v>67</v>
      </c>
    </row>
    <row r="25" spans="1:6" x14ac:dyDescent="0.45">
      <c r="A25" s="10" t="s">
        <v>13</v>
      </c>
      <c r="B25" s="95">
        <v>2800</v>
      </c>
    </row>
    <row r="26" spans="1:6" x14ac:dyDescent="0.45">
      <c r="A26" s="10" t="s">
        <v>12</v>
      </c>
      <c r="B26" s="95">
        <v>2200</v>
      </c>
    </row>
    <row r="27" spans="1:6" x14ac:dyDescent="0.45">
      <c r="A27" s="10" t="s">
        <v>1</v>
      </c>
      <c r="B27" s="95">
        <v>1200</v>
      </c>
    </row>
    <row r="28" spans="1:6" x14ac:dyDescent="0.45">
      <c r="A28" s="10" t="s">
        <v>11</v>
      </c>
      <c r="B28" s="95">
        <v>2300</v>
      </c>
    </row>
    <row r="29" spans="1:6" x14ac:dyDescent="0.45">
      <c r="A29" s="10" t="s">
        <v>62</v>
      </c>
      <c r="B29" s="95">
        <v>8500</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
                <anchor moveWithCells="1" sizeWithCells="1">
                  <from>
                    <xdr:col>3</xdr:col>
                    <xdr:colOff>561975</xdr:colOff>
                    <xdr:row>22</xdr:row>
                    <xdr:rowOff>147638</xdr:rowOff>
                  </from>
                  <to>
                    <xdr:col>4</xdr:col>
                    <xdr:colOff>490538</xdr:colOff>
                    <xdr:row>25</xdr:row>
                    <xdr:rowOff>23813</xdr:rowOff>
                  </to>
                </anchor>
              </controlPr>
            </control>
          </mc:Choice>
        </mc:AlternateContent>
        <mc:AlternateContent xmlns:mc="http://schemas.openxmlformats.org/markup-compatibility/2006">
          <mc:Choice Requires="x14">
            <control shapeId="8194" r:id="rId5" name="Button 2">
              <controlPr defaultSize="0" print="0" autoFill="0" autoPict="0" macro="[0]!Button2_Click">
                <anchor moveWithCells="1" sizeWithCells="1">
                  <from>
                    <xdr:col>3</xdr:col>
                    <xdr:colOff>638175</xdr:colOff>
                    <xdr:row>26</xdr:row>
                    <xdr:rowOff>61913</xdr:rowOff>
                  </from>
                  <to>
                    <xdr:col>4</xdr:col>
                    <xdr:colOff>404813</xdr:colOff>
                    <xdr:row>28</xdr:row>
                    <xdr:rowOff>128588</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277C7-6E30-4DFD-8A5F-76FD072FF3CF}">
  <sheetPr codeName="Sheet6"/>
  <dimension ref="A1:E21"/>
  <sheetViews>
    <sheetView zoomScale="160" zoomScaleNormal="160" workbookViewId="0">
      <selection activeCell="H10" sqref="H10"/>
    </sheetView>
  </sheetViews>
  <sheetFormatPr defaultColWidth="8.796875" defaultRowHeight="14.25" x14ac:dyDescent="0.45"/>
  <cols>
    <col min="1" max="1" width="14.46484375" customWidth="1"/>
    <col min="2" max="2" width="31.1328125" customWidth="1"/>
    <col min="3" max="3" width="26.33203125" customWidth="1"/>
  </cols>
  <sheetData>
    <row r="1" spans="1:5" x14ac:dyDescent="0.45">
      <c r="A1" s="1" t="s">
        <v>0</v>
      </c>
      <c r="B1" s="1" t="s">
        <v>30</v>
      </c>
      <c r="C1" s="1" t="s">
        <v>31</v>
      </c>
      <c r="D1" s="1" t="s">
        <v>32</v>
      </c>
      <c r="E1" t="s">
        <v>52</v>
      </c>
    </row>
    <row r="2" spans="1:5" x14ac:dyDescent="0.45">
      <c r="A2" s="2" t="s">
        <v>1</v>
      </c>
      <c r="B2" s="2" t="s">
        <v>23</v>
      </c>
      <c r="C2">
        <v>6</v>
      </c>
      <c r="E2">
        <v>1</v>
      </c>
    </row>
    <row r="3" spans="1:5" x14ac:dyDescent="0.45">
      <c r="A3" s="2" t="s">
        <v>2</v>
      </c>
      <c r="B3" s="2" t="s">
        <v>24</v>
      </c>
      <c r="C3">
        <v>8</v>
      </c>
      <c r="E3">
        <v>2</v>
      </c>
    </row>
    <row r="4" spans="1:5" x14ac:dyDescent="0.45">
      <c r="A4" s="2" t="s">
        <v>3</v>
      </c>
      <c r="B4" s="2" t="s">
        <v>23</v>
      </c>
      <c r="C4">
        <v>6</v>
      </c>
      <c r="E4">
        <v>3</v>
      </c>
    </row>
    <row r="5" spans="1:5" ht="28.5" x14ac:dyDescent="0.45">
      <c r="A5" s="2" t="s">
        <v>4</v>
      </c>
      <c r="B5" s="2" t="s">
        <v>23</v>
      </c>
      <c r="C5">
        <v>6</v>
      </c>
      <c r="E5">
        <v>4</v>
      </c>
    </row>
    <row r="6" spans="1:5" ht="28.5" x14ac:dyDescent="0.45">
      <c r="A6" s="2" t="s">
        <v>5</v>
      </c>
      <c r="B6" s="2" t="s">
        <v>24</v>
      </c>
      <c r="C6">
        <v>9</v>
      </c>
      <c r="E6">
        <v>5</v>
      </c>
    </row>
    <row r="7" spans="1:5" x14ac:dyDescent="0.45">
      <c r="A7" s="2" t="s">
        <v>6</v>
      </c>
      <c r="B7" s="2" t="s">
        <v>24</v>
      </c>
      <c r="C7">
        <v>8</v>
      </c>
      <c r="E7">
        <v>6</v>
      </c>
    </row>
    <row r="8" spans="1:5" x14ac:dyDescent="0.45">
      <c r="A8" s="2" t="s">
        <v>7</v>
      </c>
      <c r="B8" s="2" t="s">
        <v>23</v>
      </c>
      <c r="C8">
        <v>7</v>
      </c>
      <c r="E8">
        <v>7</v>
      </c>
    </row>
    <row r="9" spans="1:5" ht="28.5" x14ac:dyDescent="0.45">
      <c r="A9" s="2" t="s">
        <v>8</v>
      </c>
      <c r="B9" s="2" t="s">
        <v>24</v>
      </c>
      <c r="C9">
        <v>8</v>
      </c>
      <c r="E9">
        <v>8</v>
      </c>
    </row>
    <row r="10" spans="1:5" x14ac:dyDescent="0.45">
      <c r="A10" s="2" t="s">
        <v>9</v>
      </c>
      <c r="B10" s="2" t="s">
        <v>23</v>
      </c>
      <c r="C10">
        <v>7</v>
      </c>
      <c r="E10">
        <v>9</v>
      </c>
    </row>
    <row r="11" spans="1:5" x14ac:dyDescent="0.45">
      <c r="A11" s="2" t="s">
        <v>10</v>
      </c>
      <c r="B11" s="2" t="s">
        <v>23</v>
      </c>
      <c r="C11">
        <v>6</v>
      </c>
      <c r="E11">
        <v>10</v>
      </c>
    </row>
    <row r="12" spans="1:5" x14ac:dyDescent="0.45">
      <c r="A12" s="2" t="s">
        <v>11</v>
      </c>
      <c r="B12" s="2" t="s">
        <v>24</v>
      </c>
      <c r="C12">
        <v>9</v>
      </c>
      <c r="E12" t="s">
        <v>49</v>
      </c>
    </row>
    <row r="13" spans="1:5" x14ac:dyDescent="0.45">
      <c r="A13" s="2" t="s">
        <v>12</v>
      </c>
      <c r="B13" s="2" t="s">
        <v>24</v>
      </c>
      <c r="C13">
        <v>9</v>
      </c>
    </row>
    <row r="14" spans="1:5" ht="28.5" x14ac:dyDescent="0.45">
      <c r="A14" s="2" t="s">
        <v>13</v>
      </c>
      <c r="B14" s="2" t="s">
        <v>24</v>
      </c>
      <c r="C14">
        <v>9</v>
      </c>
    </row>
    <row r="15" spans="1:5" x14ac:dyDescent="0.45">
      <c r="A15" s="2" t="s">
        <v>14</v>
      </c>
      <c r="B15" s="2" t="s">
        <v>24</v>
      </c>
      <c r="C15">
        <v>7</v>
      </c>
    </row>
    <row r="16" spans="1:5" x14ac:dyDescent="0.45">
      <c r="A16" s="2" t="s">
        <v>15</v>
      </c>
      <c r="B16" s="2" t="s">
        <v>23</v>
      </c>
      <c r="C16">
        <v>7</v>
      </c>
    </row>
    <row r="17" spans="1:3" x14ac:dyDescent="0.45">
      <c r="A17" s="2" t="s">
        <v>16</v>
      </c>
      <c r="B17" s="2" t="s">
        <v>23</v>
      </c>
      <c r="C17">
        <v>6</v>
      </c>
    </row>
    <row r="18" spans="1:3" x14ac:dyDescent="0.45">
      <c r="A18" s="2" t="s">
        <v>17</v>
      </c>
      <c r="B18" s="2" t="s">
        <v>24</v>
      </c>
      <c r="C18">
        <v>8</v>
      </c>
    </row>
    <row r="19" spans="1:3" x14ac:dyDescent="0.45">
      <c r="A19" s="2" t="s">
        <v>18</v>
      </c>
      <c r="B19" s="2" t="s">
        <v>24</v>
      </c>
      <c r="C19">
        <v>7</v>
      </c>
    </row>
    <row r="20" spans="1:3" x14ac:dyDescent="0.45">
      <c r="A20" s="2" t="s">
        <v>19</v>
      </c>
      <c r="B20" s="2" t="s">
        <v>24</v>
      </c>
      <c r="C20">
        <v>8</v>
      </c>
    </row>
    <row r="21" spans="1:3" x14ac:dyDescent="0.45">
      <c r="A21" s="2" t="s">
        <v>20</v>
      </c>
      <c r="B21" s="2" t="s">
        <v>23</v>
      </c>
      <c r="C21">
        <v>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4D15A-000B-4D61-871B-5245EF5A9165}">
  <sheetPr codeName="Sheet7"/>
  <dimension ref="A1:E22"/>
  <sheetViews>
    <sheetView zoomScale="130" zoomScaleNormal="130" workbookViewId="0">
      <selection activeCell="D1" activeCellId="1" sqref="A1:A21 D1:D21"/>
    </sheetView>
  </sheetViews>
  <sheetFormatPr defaultColWidth="8.796875" defaultRowHeight="14.25" x14ac:dyDescent="0.45"/>
  <cols>
    <col min="1" max="1" width="22.796875" customWidth="1"/>
    <col min="2" max="2" width="23.796875" customWidth="1"/>
    <col min="3" max="3" width="22" customWidth="1"/>
    <col min="4" max="4" width="8.796875" style="21"/>
  </cols>
  <sheetData>
    <row r="1" spans="1:5" x14ac:dyDescent="0.45">
      <c r="A1" s="1" t="s">
        <v>0</v>
      </c>
      <c r="B1" s="1" t="s">
        <v>44</v>
      </c>
      <c r="C1" s="1" t="s">
        <v>45</v>
      </c>
      <c r="D1" s="20" t="s">
        <v>52</v>
      </c>
    </row>
    <row r="2" spans="1:5" x14ac:dyDescent="0.45">
      <c r="A2" s="2" t="s">
        <v>1</v>
      </c>
      <c r="B2" s="7">
        <v>3600</v>
      </c>
      <c r="C2" s="2">
        <v>34.619999999999997</v>
      </c>
      <c r="D2" s="21" t="str" cm="1">
        <f t="array" ref="D2">_xlfn.IFS(Safety_Rate[[#This Row],[Safety Score (out of 100)]]&lt;41,"Low",Safety_Rate[[#This Row],[Safety Score (out of 100)]]&lt;71,"Moderate",Safety_Rate[[#This Row],[Safety Score (out of 100)]]&lt;101,"High")</f>
        <v>Low</v>
      </c>
    </row>
    <row r="3" spans="1:5" x14ac:dyDescent="0.45">
      <c r="A3" s="2" t="s">
        <v>2</v>
      </c>
      <c r="B3" s="7">
        <v>2400</v>
      </c>
      <c r="C3" s="2">
        <v>80.77</v>
      </c>
      <c r="D3" s="21" t="str" cm="1">
        <f t="array" ref="D3">_xlfn.IFS(Safety_Rate[[#This Row],[Safety Score (out of 100)]]&lt;41,"Low",Safety_Rate[[#This Row],[Safety Score (out of 100)]]&lt;71,"Moderate",Safety_Rate[[#This Row],[Safety Score (out of 100)]]&lt;101,"High")</f>
        <v>High</v>
      </c>
      <c r="E3" s="11"/>
    </row>
    <row r="4" spans="1:5" x14ac:dyDescent="0.45">
      <c r="A4" s="2" t="s">
        <v>3</v>
      </c>
      <c r="B4" s="7">
        <v>2800</v>
      </c>
      <c r="C4" s="2">
        <v>65.38</v>
      </c>
      <c r="D4" s="21" t="str" cm="1">
        <f t="array" ref="D4">_xlfn.IFS(Safety_Rate[[#This Row],[Safety Score (out of 100)]]&lt;41,"Low",Safety_Rate[[#This Row],[Safety Score (out of 100)]]&lt;71,"Moderate",Safety_Rate[[#This Row],[Safety Score (out of 100)]]&lt;101,"High")</f>
        <v>Moderate</v>
      </c>
      <c r="E4" s="11"/>
    </row>
    <row r="5" spans="1:5" x14ac:dyDescent="0.45">
      <c r="A5" s="2" t="s">
        <v>4</v>
      </c>
      <c r="B5" s="7">
        <v>2700</v>
      </c>
      <c r="C5" s="2">
        <v>69.23</v>
      </c>
      <c r="D5" s="21" t="str" cm="1">
        <f t="array" ref="D5">_xlfn.IFS(Safety_Rate[[#This Row],[Safety Score (out of 100)]]&lt;41,"Low",Safety_Rate[[#This Row],[Safety Score (out of 100)]]&lt;71,"Moderate",Safety_Rate[[#This Row],[Safety Score (out of 100)]]&lt;101,"High")</f>
        <v>Moderate</v>
      </c>
      <c r="E5" s="11"/>
    </row>
    <row r="6" spans="1:5" x14ac:dyDescent="0.45">
      <c r="A6" s="2" t="s">
        <v>5</v>
      </c>
      <c r="B6" s="7">
        <v>3200</v>
      </c>
      <c r="C6" s="2">
        <v>50</v>
      </c>
      <c r="D6" s="21" t="str" cm="1">
        <f t="array" ref="D6">_xlfn.IFS(Safety_Rate[[#This Row],[Safety Score (out of 100)]]&lt;41,"Low",Safety_Rate[[#This Row],[Safety Score (out of 100)]]&lt;71,"Moderate",Safety_Rate[[#This Row],[Safety Score (out of 100)]]&lt;101,"High")</f>
        <v>Moderate</v>
      </c>
      <c r="E6" s="11"/>
    </row>
    <row r="7" spans="1:5" x14ac:dyDescent="0.45">
      <c r="A7" s="2" t="s">
        <v>6</v>
      </c>
      <c r="B7" s="7">
        <v>1900</v>
      </c>
      <c r="C7" s="2">
        <v>100</v>
      </c>
      <c r="D7" s="21" t="str" cm="1">
        <f t="array" ref="D7">_xlfn.IFS(Safety_Rate[[#This Row],[Safety Score (out of 100)]]&lt;41,"Low",Safety_Rate[[#This Row],[Safety Score (out of 100)]]&lt;71,"Moderate",Safety_Rate[[#This Row],[Safety Score (out of 100)]]&lt;101,"High")</f>
        <v>High</v>
      </c>
    </row>
    <row r="8" spans="1:5" x14ac:dyDescent="0.45">
      <c r="A8" s="2" t="s">
        <v>7</v>
      </c>
      <c r="B8" s="7">
        <v>3400</v>
      </c>
      <c r="C8" s="2">
        <v>42.31</v>
      </c>
      <c r="D8" s="21" t="str" cm="1">
        <f t="array" ref="D8">_xlfn.IFS(Safety_Rate[[#This Row],[Safety Score (out of 100)]]&lt;41,"Low",Safety_Rate[[#This Row],[Safety Score (out of 100)]]&lt;71,"Moderate",Safety_Rate[[#This Row],[Safety Score (out of 100)]]&lt;101,"High")</f>
        <v>Moderate</v>
      </c>
    </row>
    <row r="9" spans="1:5" x14ac:dyDescent="0.45">
      <c r="A9" s="2" t="s">
        <v>8</v>
      </c>
      <c r="B9" s="7">
        <v>2600</v>
      </c>
      <c r="C9" s="2">
        <v>73.08</v>
      </c>
      <c r="D9" s="21" t="str" cm="1">
        <f t="array" ref="D9">_xlfn.IFS(Safety_Rate[[#This Row],[Safety Score (out of 100)]]&lt;41,"Low",Safety_Rate[[#This Row],[Safety Score (out of 100)]]&lt;71,"Moderate",Safety_Rate[[#This Row],[Safety Score (out of 100)]]&lt;101,"High")</f>
        <v>High</v>
      </c>
    </row>
    <row r="10" spans="1:5" x14ac:dyDescent="0.45">
      <c r="A10" s="2" t="s">
        <v>9</v>
      </c>
      <c r="B10" s="7">
        <v>4500</v>
      </c>
      <c r="C10" s="2">
        <v>0</v>
      </c>
      <c r="D10" s="21" t="str" cm="1">
        <f t="array" ref="D10">_xlfn.IFS(Safety_Rate[[#This Row],[Safety Score (out of 100)]]&lt;41,"Low",Safety_Rate[[#This Row],[Safety Score (out of 100)]]&lt;71,"Moderate",Safety_Rate[[#This Row],[Safety Score (out of 100)]]&lt;101,"High")</f>
        <v>Low</v>
      </c>
    </row>
    <row r="11" spans="1:5" x14ac:dyDescent="0.45">
      <c r="A11" s="2" t="s">
        <v>10</v>
      </c>
      <c r="B11" s="7">
        <v>3000</v>
      </c>
      <c r="C11" s="2">
        <v>57.69</v>
      </c>
      <c r="D11" s="21" t="str" cm="1">
        <f t="array" ref="D11">_xlfn.IFS(Safety_Rate[[#This Row],[Safety Score (out of 100)]]&lt;41,"Low",Safety_Rate[[#This Row],[Safety Score (out of 100)]]&lt;71,"Moderate",Safety_Rate[[#This Row],[Safety Score (out of 100)]]&lt;101,"High")</f>
        <v>Moderate</v>
      </c>
    </row>
    <row r="12" spans="1:5" x14ac:dyDescent="0.45">
      <c r="A12" s="2" t="s">
        <v>11</v>
      </c>
      <c r="B12" s="7">
        <v>4000</v>
      </c>
      <c r="C12" s="2">
        <v>19.23</v>
      </c>
      <c r="D12" s="21" t="str" cm="1">
        <f t="array" ref="D12">_xlfn.IFS(Safety_Rate[[#This Row],[Safety Score (out of 100)]]&lt;41,"Low",Safety_Rate[[#This Row],[Safety Score (out of 100)]]&lt;71,"Moderate",Safety_Rate[[#This Row],[Safety Score (out of 100)]]&lt;101,"High")</f>
        <v>Low</v>
      </c>
    </row>
    <row r="13" spans="1:5" x14ac:dyDescent="0.45">
      <c r="A13" s="2" t="s">
        <v>12</v>
      </c>
      <c r="B13" s="7">
        <v>2900</v>
      </c>
      <c r="C13" s="2">
        <v>61.54</v>
      </c>
      <c r="D13" s="21" t="str" cm="1">
        <f t="array" ref="D13">_xlfn.IFS(Safety_Rate[[#This Row],[Safety Score (out of 100)]]&lt;41,"Low",Safety_Rate[[#This Row],[Safety Score (out of 100)]]&lt;71,"Moderate",Safety_Rate[[#This Row],[Safety Score (out of 100)]]&lt;101,"High")</f>
        <v>Moderate</v>
      </c>
    </row>
    <row r="14" spans="1:5" x14ac:dyDescent="0.45">
      <c r="A14" s="2" t="s">
        <v>13</v>
      </c>
      <c r="B14" s="7">
        <v>2500</v>
      </c>
      <c r="C14" s="2">
        <v>76.92</v>
      </c>
      <c r="D14" s="21" t="str" cm="1">
        <f t="array" ref="D14">_xlfn.IFS(Safety_Rate[[#This Row],[Safety Score (out of 100)]]&lt;41,"Low",Safety_Rate[[#This Row],[Safety Score (out of 100)]]&lt;71,"Moderate",Safety_Rate[[#This Row],[Safety Score (out of 100)]]&lt;101,"High")</f>
        <v>High</v>
      </c>
    </row>
    <row r="15" spans="1:5" x14ac:dyDescent="0.45">
      <c r="A15" s="2" t="s">
        <v>14</v>
      </c>
      <c r="B15" s="7">
        <v>2200</v>
      </c>
      <c r="C15" s="2">
        <v>88.46</v>
      </c>
      <c r="D15" s="21" t="str" cm="1">
        <f t="array" ref="D15">_xlfn.IFS(Safety_Rate[[#This Row],[Safety Score (out of 100)]]&lt;41,"Low",Safety_Rate[[#This Row],[Safety Score (out of 100)]]&lt;71,"Moderate",Safety_Rate[[#This Row],[Safety Score (out of 100)]]&lt;101,"High")</f>
        <v>High</v>
      </c>
    </row>
    <row r="16" spans="1:5" x14ac:dyDescent="0.45">
      <c r="A16" s="2" t="s">
        <v>15</v>
      </c>
      <c r="B16" s="7">
        <v>3000</v>
      </c>
      <c r="C16" s="2">
        <v>57.69</v>
      </c>
      <c r="D16" s="21" t="str" cm="1">
        <f t="array" ref="D16">_xlfn.IFS(Safety_Rate[[#This Row],[Safety Score (out of 100)]]&lt;41,"Low",Safety_Rate[[#This Row],[Safety Score (out of 100)]]&lt;71,"Moderate",Safety_Rate[[#This Row],[Safety Score (out of 100)]]&lt;101,"High")</f>
        <v>Moderate</v>
      </c>
    </row>
    <row r="17" spans="1:4" x14ac:dyDescent="0.45">
      <c r="A17" s="2" t="s">
        <v>16</v>
      </c>
      <c r="B17" s="7">
        <v>2400</v>
      </c>
      <c r="C17" s="2">
        <v>80.77</v>
      </c>
      <c r="D17" s="21" t="str" cm="1">
        <f t="array" ref="D17">_xlfn.IFS(Safety_Rate[[#This Row],[Safety Score (out of 100)]]&lt;41,"Low",Safety_Rate[[#This Row],[Safety Score (out of 100)]]&lt;71,"Moderate",Safety_Rate[[#This Row],[Safety Score (out of 100)]]&lt;101,"High")</f>
        <v>High</v>
      </c>
    </row>
    <row r="18" spans="1:4" x14ac:dyDescent="0.45">
      <c r="A18" s="2" t="s">
        <v>17</v>
      </c>
      <c r="B18" s="7">
        <v>3400</v>
      </c>
      <c r="C18" s="2">
        <v>42.31</v>
      </c>
      <c r="D18" s="21" t="str" cm="1">
        <f t="array" ref="D18">_xlfn.IFS(Safety_Rate[[#This Row],[Safety Score (out of 100)]]&lt;41,"Low",Safety_Rate[[#This Row],[Safety Score (out of 100)]]&lt;71,"Moderate",Safety_Rate[[#This Row],[Safety Score (out of 100)]]&lt;101,"High")</f>
        <v>Moderate</v>
      </c>
    </row>
    <row r="19" spans="1:4" x14ac:dyDescent="0.45">
      <c r="A19" s="2" t="s">
        <v>18</v>
      </c>
      <c r="B19" s="7">
        <v>3200</v>
      </c>
      <c r="C19" s="2">
        <v>50</v>
      </c>
      <c r="D19" s="21" t="str" cm="1">
        <f t="array" ref="D19">_xlfn.IFS(Safety_Rate[[#This Row],[Safety Score (out of 100)]]&lt;41,"Low",Safety_Rate[[#This Row],[Safety Score (out of 100)]]&lt;71,"Moderate",Safety_Rate[[#This Row],[Safety Score (out of 100)]]&lt;101,"High")</f>
        <v>Moderate</v>
      </c>
    </row>
    <row r="20" spans="1:4" x14ac:dyDescent="0.45">
      <c r="A20" s="2" t="s">
        <v>19</v>
      </c>
      <c r="B20" s="7">
        <v>2500</v>
      </c>
      <c r="C20" s="2">
        <v>76.92</v>
      </c>
      <c r="D20" s="21" t="str" cm="1">
        <f t="array" ref="D20">_xlfn.IFS(Safety_Rate[[#This Row],[Safety Score (out of 100)]]&lt;41,"Low",Safety_Rate[[#This Row],[Safety Score (out of 100)]]&lt;71,"Moderate",Safety_Rate[[#This Row],[Safety Score (out of 100)]]&lt;101,"High")</f>
        <v>High</v>
      </c>
    </row>
    <row r="21" spans="1:4" x14ac:dyDescent="0.45">
      <c r="A21" s="2" t="s">
        <v>20</v>
      </c>
      <c r="B21" s="7">
        <v>2800</v>
      </c>
      <c r="C21" s="2">
        <v>65.38</v>
      </c>
      <c r="D21" s="21" t="str" cm="1">
        <f t="array" ref="D21">_xlfn.IFS(Safety_Rate[[#This Row],[Safety Score (out of 100)]]&lt;41,"Low",Safety_Rate[[#This Row],[Safety Score (out of 100)]]&lt;71,"Moderate",Safety_Rate[[#This Row],[Safety Score (out of 100)]]&lt;101,"High")</f>
        <v>Moderate</v>
      </c>
    </row>
    <row r="22" spans="1:4" x14ac:dyDescent="0.45">
      <c r="A22" s="8" t="s">
        <v>46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F8406-39A1-074E-9206-567FB43B8B16}">
  <sheetPr codeName="Sheet8"/>
  <dimension ref="A2:L32"/>
  <sheetViews>
    <sheetView zoomScale="74" zoomScaleNormal="74" workbookViewId="0">
      <selection activeCell="A30" sqref="A30"/>
    </sheetView>
  </sheetViews>
  <sheetFormatPr defaultColWidth="10.6640625" defaultRowHeight="14.25" x14ac:dyDescent="0.45"/>
  <cols>
    <col min="1" max="1" width="15.3984375" bestFit="1" customWidth="1"/>
    <col min="2" max="2" width="16.3984375" bestFit="1" customWidth="1"/>
    <col min="3" max="3" width="20.86328125" bestFit="1" customWidth="1"/>
    <col min="4" max="4" width="14.73046875" bestFit="1" customWidth="1"/>
    <col min="5" max="5" width="10.53125" bestFit="1" customWidth="1"/>
    <col min="6" max="6" width="10" bestFit="1" customWidth="1"/>
    <col min="7" max="7" width="16.53125" bestFit="1" customWidth="1"/>
    <col min="9" max="9" width="5.796875" bestFit="1" customWidth="1"/>
    <col min="11" max="11" width="38.265625" bestFit="1" customWidth="1"/>
    <col min="14" max="14" width="19.265625" bestFit="1" customWidth="1"/>
    <col min="15" max="15" width="10.59765625" bestFit="1" customWidth="1"/>
    <col min="17" max="17" width="21.86328125" bestFit="1" customWidth="1"/>
    <col min="18" max="18" width="14.19921875" bestFit="1" customWidth="1"/>
  </cols>
  <sheetData>
    <row r="2" spans="1:12" x14ac:dyDescent="0.45">
      <c r="A2" t="s">
        <v>0</v>
      </c>
      <c r="B2" s="4" t="s">
        <v>33</v>
      </c>
      <c r="C2" s="4" t="s">
        <v>34</v>
      </c>
      <c r="D2" s="4" t="s">
        <v>35</v>
      </c>
      <c r="E2" s="4" t="s">
        <v>24</v>
      </c>
      <c r="F2" s="4" t="s">
        <v>53</v>
      </c>
      <c r="G2" s="4" t="s">
        <v>59</v>
      </c>
      <c r="I2" t="s">
        <v>50</v>
      </c>
      <c r="K2" t="s">
        <v>0</v>
      </c>
      <c r="L2" s="4" t="s">
        <v>59</v>
      </c>
    </row>
    <row r="3" spans="1:12" x14ac:dyDescent="0.45">
      <c r="A3" s="13" t="s">
        <v>17</v>
      </c>
      <c r="B3" s="4">
        <v>217</v>
      </c>
      <c r="C3" s="4">
        <v>113</v>
      </c>
      <c r="D3" s="4">
        <v>1</v>
      </c>
      <c r="E3" s="4">
        <v>73</v>
      </c>
      <c r="F3" s="4">
        <v>54</v>
      </c>
      <c r="G3" s="4">
        <f>AVERAGE(Temperature[[#This Row],[High]:[Low]])</f>
        <v>63.5</v>
      </c>
      <c r="I3" s="12">
        <v>40</v>
      </c>
      <c r="K3" s="13" t="s">
        <v>17</v>
      </c>
      <c r="L3" s="23">
        <f>AVERAGE(Temperature[[#This Row],[High]:[Low]])</f>
        <v>63.5</v>
      </c>
    </row>
    <row r="4" spans="1:12" x14ac:dyDescent="0.45">
      <c r="A4" s="13" t="s">
        <v>20</v>
      </c>
      <c r="B4" s="4">
        <v>228</v>
      </c>
      <c r="C4" s="4">
        <v>84</v>
      </c>
      <c r="D4" s="4">
        <v>1</v>
      </c>
      <c r="E4" s="4">
        <v>81</v>
      </c>
      <c r="F4" s="4">
        <v>59</v>
      </c>
      <c r="G4" s="4">
        <f>AVERAGE(Temperature[[#This Row],[High]:[Low]])</f>
        <v>70</v>
      </c>
      <c r="I4" s="12">
        <v>50</v>
      </c>
      <c r="K4" s="13" t="s">
        <v>20</v>
      </c>
      <c r="L4" s="23">
        <f>AVERAGE(Temperature[[#This Row],[High]:[Low]])</f>
        <v>70</v>
      </c>
    </row>
    <row r="5" spans="1:12" x14ac:dyDescent="0.45">
      <c r="A5" s="14" t="s">
        <v>9</v>
      </c>
      <c r="B5" s="4">
        <v>213</v>
      </c>
      <c r="C5" s="4">
        <v>114</v>
      </c>
      <c r="D5" s="4">
        <v>3</v>
      </c>
      <c r="E5" s="4">
        <v>80</v>
      </c>
      <c r="F5" s="4">
        <v>54</v>
      </c>
      <c r="G5" s="4">
        <f>AVERAGE(Temperature[[#This Row],[High]:[Low]])</f>
        <v>67</v>
      </c>
      <c r="I5" s="12">
        <v>60</v>
      </c>
      <c r="K5" s="14" t="s">
        <v>9</v>
      </c>
      <c r="L5" s="23">
        <f>AVERAGE(Temperature[[#This Row],[High]:[Low]])</f>
        <v>67</v>
      </c>
    </row>
    <row r="6" spans="1:12" x14ac:dyDescent="0.45">
      <c r="A6" s="14" t="s">
        <v>6</v>
      </c>
      <c r="B6" s="4">
        <v>245</v>
      </c>
      <c r="C6" s="4">
        <v>117</v>
      </c>
      <c r="D6" s="4">
        <v>33</v>
      </c>
      <c r="E6" s="4">
        <v>87</v>
      </c>
      <c r="F6" s="4">
        <v>22</v>
      </c>
      <c r="G6" s="4">
        <f>AVERAGE(Temperature[[#This Row],[High]:[Low]])</f>
        <v>54.5</v>
      </c>
      <c r="I6" s="12">
        <v>70</v>
      </c>
      <c r="K6" s="14" t="s">
        <v>6</v>
      </c>
      <c r="L6" s="23">
        <f>AVERAGE(Temperature[[#This Row],[High]:[Low]])</f>
        <v>54.5</v>
      </c>
    </row>
    <row r="7" spans="1:12" x14ac:dyDescent="0.45">
      <c r="A7" s="14" t="s">
        <v>15</v>
      </c>
      <c r="B7" s="4">
        <v>213</v>
      </c>
      <c r="C7" s="4">
        <v>111</v>
      </c>
      <c r="D7" s="4">
        <v>2</v>
      </c>
      <c r="E7" s="4">
        <v>72</v>
      </c>
      <c r="F7" s="4">
        <v>51</v>
      </c>
      <c r="G7" s="4">
        <f>AVERAGE(Temperature[[#This Row],[High]:[Low]])</f>
        <v>61.5</v>
      </c>
      <c r="I7" t="s">
        <v>49</v>
      </c>
      <c r="K7" s="14" t="s">
        <v>15</v>
      </c>
      <c r="L7" s="23">
        <f>AVERAGE(Temperature[[#This Row],[High]:[Low]])</f>
        <v>61.5</v>
      </c>
    </row>
    <row r="8" spans="1:12" x14ac:dyDescent="0.45">
      <c r="A8" s="13" t="s">
        <v>4</v>
      </c>
      <c r="B8" s="4">
        <v>247</v>
      </c>
      <c r="C8" s="4">
        <v>115</v>
      </c>
      <c r="D8" s="4">
        <v>38</v>
      </c>
      <c r="E8" s="4">
        <v>66</v>
      </c>
      <c r="F8" s="4">
        <v>37</v>
      </c>
      <c r="G8" s="4">
        <f>AVERAGE(Temperature[[#This Row],[High]:[Low]])</f>
        <v>51.5</v>
      </c>
      <c r="K8" s="13" t="s">
        <v>4</v>
      </c>
      <c r="L8" s="23">
        <f>AVERAGE(Temperature[[#This Row],[High]:[Low]])</f>
        <v>51.5</v>
      </c>
    </row>
    <row r="9" spans="1:12" x14ac:dyDescent="0.45">
      <c r="A9" s="14" t="s">
        <v>18</v>
      </c>
      <c r="B9" s="4">
        <v>234</v>
      </c>
      <c r="C9" s="4">
        <v>78</v>
      </c>
      <c r="D9" s="4">
        <v>1</v>
      </c>
      <c r="E9" s="4">
        <v>78</v>
      </c>
      <c r="F9" s="4">
        <v>58</v>
      </c>
      <c r="G9" s="4">
        <f>AVERAGE(Temperature[[#This Row],[High]:[Low]])</f>
        <v>68</v>
      </c>
      <c r="K9" s="14" t="s">
        <v>18</v>
      </c>
      <c r="L9" s="23">
        <f>AVERAGE(Temperature[[#This Row],[High]:[Low]])</f>
        <v>68</v>
      </c>
    </row>
    <row r="10" spans="1:12" x14ac:dyDescent="0.45">
      <c r="A10" s="13" t="s">
        <v>3</v>
      </c>
      <c r="B10" s="4">
        <v>201</v>
      </c>
      <c r="C10" s="4">
        <v>105</v>
      </c>
      <c r="D10" s="4">
        <v>33</v>
      </c>
      <c r="E10" s="4">
        <v>52</v>
      </c>
      <c r="F10" s="4">
        <v>45</v>
      </c>
      <c r="G10" s="4">
        <f>AVERAGE(Temperature[[#This Row],[High]:[Low]])</f>
        <v>48.5</v>
      </c>
      <c r="K10" s="13" t="s">
        <v>3</v>
      </c>
      <c r="L10" s="23">
        <f>AVERAGE(Temperature[[#This Row],[High]:[Low]])</f>
        <v>48.5</v>
      </c>
    </row>
    <row r="11" spans="1:12" ht="28.5" x14ac:dyDescent="0.45">
      <c r="A11" s="14" t="s">
        <v>8</v>
      </c>
      <c r="B11" s="4">
        <v>220</v>
      </c>
      <c r="C11" s="4">
        <v>111</v>
      </c>
      <c r="D11" s="4">
        <v>2</v>
      </c>
      <c r="E11" s="4">
        <v>72</v>
      </c>
      <c r="F11" s="4">
        <v>61</v>
      </c>
      <c r="G11" s="4">
        <f>AVERAGE(Temperature[[#This Row],[High]:[Low]])</f>
        <v>66.5</v>
      </c>
      <c r="K11" s="14" t="s">
        <v>8</v>
      </c>
      <c r="L11" s="23">
        <f>AVERAGE(Temperature[[#This Row],[High]:[Low]])</f>
        <v>66.5</v>
      </c>
    </row>
    <row r="12" spans="1:12" x14ac:dyDescent="0.45">
      <c r="A12" s="13" t="s">
        <v>2</v>
      </c>
      <c r="B12" s="4">
        <v>194</v>
      </c>
      <c r="C12" s="4">
        <v>130</v>
      </c>
      <c r="D12" s="4">
        <v>35</v>
      </c>
      <c r="E12" s="4">
        <v>61</v>
      </c>
      <c r="F12" s="4">
        <v>41</v>
      </c>
      <c r="G12" s="4">
        <f>AVERAGE(Temperature[[#This Row],[High]:[Low]])</f>
        <v>51</v>
      </c>
      <c r="K12" s="13" t="s">
        <v>2</v>
      </c>
      <c r="L12" s="23">
        <f>AVERAGE(Temperature[[#This Row],[High]:[Low]])</f>
        <v>51</v>
      </c>
    </row>
    <row r="13" spans="1:12" x14ac:dyDescent="0.45">
      <c r="A13" s="14" t="s">
        <v>16</v>
      </c>
      <c r="B13" s="4">
        <v>198</v>
      </c>
      <c r="C13" s="4">
        <v>118</v>
      </c>
      <c r="D13" s="4">
        <v>1</v>
      </c>
      <c r="E13" s="4">
        <v>74</v>
      </c>
      <c r="F13" s="4">
        <v>54</v>
      </c>
      <c r="G13" s="4">
        <f>AVERAGE(Temperature[[#This Row],[High]:[Low]])</f>
        <v>64</v>
      </c>
      <c r="K13" s="14" t="s">
        <v>16</v>
      </c>
      <c r="L13" s="23">
        <f>AVERAGE(Temperature[[#This Row],[High]:[Low]])</f>
        <v>64</v>
      </c>
    </row>
    <row r="14" spans="1:12" x14ac:dyDescent="0.45">
      <c r="A14" s="13" t="s">
        <v>10</v>
      </c>
      <c r="B14" s="4">
        <v>178</v>
      </c>
      <c r="C14" s="4">
        <v>138</v>
      </c>
      <c r="D14" s="4">
        <v>38</v>
      </c>
      <c r="E14" s="4">
        <v>59</v>
      </c>
      <c r="F14" s="4">
        <v>42</v>
      </c>
      <c r="G14" s="4">
        <f>AVERAGE(Temperature[[#This Row],[High]:[Low]])</f>
        <v>50.5</v>
      </c>
      <c r="K14" s="13" t="s">
        <v>10</v>
      </c>
      <c r="L14" s="23">
        <f>AVERAGE(Temperature[[#This Row],[High]:[Low]])</f>
        <v>50.5</v>
      </c>
    </row>
    <row r="15" spans="1:12" x14ac:dyDescent="0.45">
      <c r="A15" s="14" t="s">
        <v>5</v>
      </c>
      <c r="B15" s="4">
        <v>234</v>
      </c>
      <c r="C15" s="4">
        <v>119</v>
      </c>
      <c r="D15" s="4">
        <v>25</v>
      </c>
      <c r="E15" s="4">
        <v>63</v>
      </c>
      <c r="F15" s="4">
        <v>49</v>
      </c>
      <c r="G15" s="4">
        <f>AVERAGE(Temperature[[#This Row],[High]:[Low]])</f>
        <v>56</v>
      </c>
      <c r="K15" s="14" t="s">
        <v>5</v>
      </c>
      <c r="L15" s="23">
        <f>AVERAGE(Temperature[[#This Row],[High]:[Low]])</f>
        <v>56</v>
      </c>
    </row>
    <row r="16" spans="1:12" x14ac:dyDescent="0.45">
      <c r="A16" s="13" t="s">
        <v>14</v>
      </c>
      <c r="B16" s="4">
        <v>213</v>
      </c>
      <c r="C16" s="4">
        <v>111</v>
      </c>
      <c r="D16" s="4">
        <v>2</v>
      </c>
      <c r="E16" s="4">
        <v>72</v>
      </c>
      <c r="F16" s="4">
        <v>51</v>
      </c>
      <c r="G16" s="4">
        <f>AVERAGE(Temperature[[#This Row],[High]:[Low]])</f>
        <v>61.5</v>
      </c>
      <c r="K16" s="13" t="s">
        <v>14</v>
      </c>
      <c r="L16" s="23">
        <f>AVERAGE(Temperature[[#This Row],[High]:[Low]])</f>
        <v>61.5</v>
      </c>
    </row>
    <row r="17" spans="1:12" x14ac:dyDescent="0.45">
      <c r="A17" s="14" t="s">
        <v>13</v>
      </c>
      <c r="B17" s="4">
        <v>259</v>
      </c>
      <c r="C17" s="4">
        <v>68</v>
      </c>
      <c r="D17" s="4">
        <v>0</v>
      </c>
      <c r="E17" s="4">
        <v>64</v>
      </c>
      <c r="F17" s="4">
        <v>51</v>
      </c>
      <c r="G17" s="4">
        <f>AVERAGE(Temperature[[#This Row],[High]:[Low]])</f>
        <v>57.5</v>
      </c>
      <c r="K17" s="14" t="s">
        <v>13</v>
      </c>
      <c r="L17" s="23">
        <f>AVERAGE(Temperature[[#This Row],[High]:[Low]])</f>
        <v>57.5</v>
      </c>
    </row>
    <row r="18" spans="1:12" x14ac:dyDescent="0.45">
      <c r="A18" s="13" t="s">
        <v>19</v>
      </c>
      <c r="B18" s="4">
        <v>261</v>
      </c>
      <c r="C18" s="4">
        <v>64</v>
      </c>
      <c r="D18" s="4">
        <v>0</v>
      </c>
      <c r="E18" s="4">
        <v>71</v>
      </c>
      <c r="F18" s="4">
        <v>50</v>
      </c>
      <c r="G18" s="4">
        <f>AVERAGE(Temperature[[#This Row],[High]:[Low]])</f>
        <v>60.5</v>
      </c>
      <c r="K18" s="13" t="s">
        <v>19</v>
      </c>
      <c r="L18" s="23">
        <f>AVERAGE(Temperature[[#This Row],[High]:[Low]])</f>
        <v>60.5</v>
      </c>
    </row>
    <row r="19" spans="1:12" x14ac:dyDescent="0.45">
      <c r="A19" s="14" t="s">
        <v>12</v>
      </c>
      <c r="B19" s="4">
        <v>152</v>
      </c>
      <c r="C19" s="4">
        <v>158</v>
      </c>
      <c r="D19" s="4">
        <v>1</v>
      </c>
      <c r="E19" s="4">
        <v>61</v>
      </c>
      <c r="F19" s="4">
        <v>46</v>
      </c>
      <c r="G19" s="4">
        <f>AVERAGE(Temperature[[#This Row],[High]:[Low]])</f>
        <v>53.5</v>
      </c>
      <c r="K19" s="14" t="s">
        <v>12</v>
      </c>
      <c r="L19" s="23">
        <f>AVERAGE(Temperature[[#This Row],[High]:[Low]])</f>
        <v>53.5</v>
      </c>
    </row>
    <row r="20" spans="1:12" x14ac:dyDescent="0.45">
      <c r="A20" s="14" t="s">
        <v>1</v>
      </c>
      <c r="B20" s="4">
        <v>233</v>
      </c>
      <c r="C20" s="4">
        <v>113</v>
      </c>
      <c r="D20" s="4">
        <v>0.2</v>
      </c>
      <c r="E20" s="4">
        <v>80</v>
      </c>
      <c r="F20" s="4">
        <v>63</v>
      </c>
      <c r="G20" s="4">
        <f>AVERAGE(Temperature[[#This Row],[High]:[Low]])</f>
        <v>71.5</v>
      </c>
      <c r="K20" s="14" t="s">
        <v>1</v>
      </c>
      <c r="L20" s="23">
        <f>AVERAGE(Temperature[[#This Row],[High]:[Low]])</f>
        <v>71.5</v>
      </c>
    </row>
    <row r="21" spans="1:12" x14ac:dyDescent="0.45">
      <c r="A21" s="13" t="s">
        <v>7</v>
      </c>
      <c r="B21" s="4">
        <v>234</v>
      </c>
      <c r="C21" s="4">
        <v>115</v>
      </c>
      <c r="D21" s="4">
        <v>22</v>
      </c>
      <c r="E21" s="4">
        <v>86</v>
      </c>
      <c r="F21" s="4">
        <v>25</v>
      </c>
      <c r="G21" s="4">
        <f>AVERAGE(Temperature[[#This Row],[High]:[Low]])</f>
        <v>55.5</v>
      </c>
      <c r="K21" s="13" t="s">
        <v>7</v>
      </c>
      <c r="L21" s="23">
        <f>AVERAGE(Temperature[[#This Row],[High]:[Low]])</f>
        <v>55.5</v>
      </c>
    </row>
    <row r="22" spans="1:12" x14ac:dyDescent="0.45">
      <c r="A22" s="13" t="s">
        <v>11</v>
      </c>
      <c r="B22" s="4">
        <v>213</v>
      </c>
      <c r="C22" s="4">
        <v>115</v>
      </c>
      <c r="D22" s="4">
        <v>3</v>
      </c>
      <c r="E22" s="4">
        <v>68</v>
      </c>
      <c r="F22" s="4">
        <v>51</v>
      </c>
      <c r="G22" s="4">
        <f>AVERAGE(Temperature[[#This Row],[High]:[Low]])</f>
        <v>59.5</v>
      </c>
      <c r="K22" s="13" t="s">
        <v>11</v>
      </c>
      <c r="L22" s="23">
        <f>AVERAGE(Temperature[[#This Row],[High]:[Low]])</f>
        <v>59.5</v>
      </c>
    </row>
    <row r="27" spans="1:12" x14ac:dyDescent="0.45">
      <c r="A27" s="18" t="s">
        <v>61</v>
      </c>
      <c r="B27" t="s">
        <v>65</v>
      </c>
    </row>
    <row r="28" spans="1:12" x14ac:dyDescent="0.45">
      <c r="A28" s="10" t="s">
        <v>13</v>
      </c>
      <c r="B28" s="95">
        <v>57.5</v>
      </c>
    </row>
    <row r="29" spans="1:12" x14ac:dyDescent="0.45">
      <c r="A29" s="10" t="s">
        <v>12</v>
      </c>
      <c r="B29" s="95">
        <v>53.5</v>
      </c>
    </row>
    <row r="30" spans="1:12" x14ac:dyDescent="0.45">
      <c r="A30" s="10" t="s">
        <v>1</v>
      </c>
      <c r="B30" s="95">
        <v>71.5</v>
      </c>
    </row>
    <row r="31" spans="1:12" x14ac:dyDescent="0.45">
      <c r="A31" s="10" t="s">
        <v>11</v>
      </c>
      <c r="B31" s="95">
        <v>59.5</v>
      </c>
    </row>
    <row r="32" spans="1:12" x14ac:dyDescent="0.45">
      <c r="A32" s="10" t="s">
        <v>62</v>
      </c>
      <c r="B32" s="95">
        <v>71.5</v>
      </c>
    </row>
  </sheetData>
  <sortState xmlns:xlrd2="http://schemas.microsoft.com/office/spreadsheetml/2017/richdata2" ref="K3:L22">
    <sortCondition ref="K2:K22"/>
  </sortState>
  <pageMargins left="0.7" right="0.7" top="0.75" bottom="0.75" header="0.3" footer="0.3"/>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2320F-2807-4A3C-96D3-BD7E80F3E478}">
  <sheetPr codeName="Sheet9"/>
  <dimension ref="A1:H9"/>
  <sheetViews>
    <sheetView workbookViewId="0">
      <selection activeCell="A13" sqref="A13"/>
    </sheetView>
  </sheetViews>
  <sheetFormatPr defaultColWidth="8.796875" defaultRowHeight="14.25" x14ac:dyDescent="0.45"/>
  <cols>
    <col min="1" max="1" width="73.796875" bestFit="1" customWidth="1"/>
  </cols>
  <sheetData>
    <row r="1" spans="1:8" ht="15.4" x14ac:dyDescent="0.45">
      <c r="A1" s="5" t="s">
        <v>42</v>
      </c>
      <c r="B1" s="6"/>
      <c r="C1" s="6"/>
      <c r="D1" s="6"/>
      <c r="E1" s="6"/>
      <c r="F1" s="6"/>
      <c r="G1" s="6"/>
    </row>
    <row r="2" spans="1:8" ht="15.4" x14ac:dyDescent="0.45">
      <c r="A2" s="75"/>
      <c r="B2" s="6"/>
      <c r="C2" s="6"/>
      <c r="D2" s="6"/>
      <c r="E2" s="6"/>
      <c r="F2" s="6"/>
      <c r="G2" s="6"/>
    </row>
    <row r="3" spans="1:8" ht="15.4" x14ac:dyDescent="0.45">
      <c r="A3" s="76" t="s">
        <v>36</v>
      </c>
      <c r="B3" s="6"/>
      <c r="C3" s="6"/>
      <c r="D3" s="6"/>
      <c r="E3" s="6"/>
      <c r="F3" s="6"/>
      <c r="G3" s="6"/>
      <c r="H3" s="6"/>
    </row>
    <row r="4" spans="1:8" ht="15.4" x14ac:dyDescent="0.45">
      <c r="A4" s="76" t="s">
        <v>37</v>
      </c>
      <c r="B4" s="6"/>
      <c r="C4" s="6"/>
      <c r="D4" s="6"/>
      <c r="E4" s="6"/>
      <c r="F4" s="6"/>
      <c r="G4" s="6"/>
      <c r="H4" s="6"/>
    </row>
    <row r="5" spans="1:8" ht="15.4" x14ac:dyDescent="0.45">
      <c r="A5" s="76" t="s">
        <v>38</v>
      </c>
      <c r="B5" s="6"/>
      <c r="C5" s="6"/>
      <c r="D5" s="6"/>
      <c r="E5" s="6"/>
      <c r="F5" s="6"/>
      <c r="G5" s="6"/>
      <c r="H5" s="6"/>
    </row>
    <row r="6" spans="1:8" ht="15.4" x14ac:dyDescent="0.45">
      <c r="A6" s="76" t="s">
        <v>39</v>
      </c>
      <c r="B6" s="6"/>
      <c r="C6" s="6"/>
      <c r="D6" s="6"/>
      <c r="E6" s="6"/>
      <c r="F6" s="6"/>
      <c r="G6" s="6"/>
      <c r="H6" s="6"/>
    </row>
    <row r="7" spans="1:8" ht="15.4" x14ac:dyDescent="0.45">
      <c r="A7" s="76" t="s">
        <v>40</v>
      </c>
      <c r="B7" s="6"/>
      <c r="C7" s="6"/>
      <c r="D7" s="6"/>
      <c r="E7" s="6"/>
      <c r="F7" s="6"/>
      <c r="G7" s="6"/>
      <c r="H7" s="6"/>
    </row>
    <row r="8" spans="1:8" ht="15.4" x14ac:dyDescent="0.45">
      <c r="A8" s="76" t="s">
        <v>41</v>
      </c>
      <c r="B8" s="6"/>
      <c r="C8" s="6"/>
      <c r="D8" s="6"/>
      <c r="E8" s="6"/>
      <c r="F8" s="6"/>
      <c r="G8" s="6"/>
      <c r="H8" s="6"/>
    </row>
    <row r="9" spans="1:8" ht="15.4" x14ac:dyDescent="0.45">
      <c r="A9" s="76" t="s">
        <v>43</v>
      </c>
      <c r="B9" s="6"/>
      <c r="C9" s="6"/>
      <c r="D9" s="6"/>
      <c r="E9" s="6"/>
      <c r="F9" s="6"/>
      <c r="G9" s="6"/>
      <c r="H9" s="6"/>
    </row>
  </sheetData>
  <hyperlinks>
    <hyperlink ref="A3" r:id="rId1" xr:uid="{D5D15B73-C3B3-49E0-9928-308B120F9F94}"/>
    <hyperlink ref="A4" r:id="rId2" xr:uid="{FB965530-8450-4677-87CA-34DF18F13B37}"/>
    <hyperlink ref="A5" r:id="rId3" xr:uid="{3600E43A-A1A4-4AA6-8830-15EA8C285A49}"/>
    <hyperlink ref="A6" r:id="rId4" xr:uid="{508CD421-63D7-4CE6-9E66-FD487C8EB845}"/>
    <hyperlink ref="A7" r:id="rId5" xr:uid="{B0B93C7D-8266-4E1D-958A-C132C358459A}"/>
    <hyperlink ref="A8" r:id="rId6" xr:uid="{EF521D16-DE23-433B-8B3C-4AAF4AF2DE47}"/>
    <hyperlink ref="A9" r:id="rId7" xr:uid="{3BEFBD4D-6220-4771-BA98-D79A36C27845}"/>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AB5FC682-04F9-4E2E-99E8-3A1B6D54A31C}">
  <ds:schemaRefs/>
</ds:datastoreItem>
</file>

<file path=customXml/itemProps2.xml><?xml version="1.0" encoding="utf-8"?>
<ds:datastoreItem xmlns:ds="http://schemas.openxmlformats.org/officeDocument/2006/customXml" ds:itemID="{737FABBC-7DCB-4852-9874-ED073EBF5949}">
  <ds:schemaRefs/>
</ds:datastoreItem>
</file>

<file path=customXml/itemProps3.xml><?xml version="1.0" encoding="utf-8"?>
<ds:datastoreItem xmlns:ds="http://schemas.openxmlformats.org/officeDocument/2006/customXml" ds:itemID="{1B003826-3E78-4173-9B81-39A2C693A735}">
  <ds:schemaRefs/>
</ds:datastoreItem>
</file>

<file path=customXml/itemProps4.xml><?xml version="1.0" encoding="utf-8"?>
<ds:datastoreItem xmlns:ds="http://schemas.openxmlformats.org/officeDocument/2006/customXml" ds:itemID="{904530E0-1D2E-455D-94B6-745635FD8305}">
  <ds:schemaRefs/>
</ds:datastoreItem>
</file>

<file path=customXml/itemProps5.xml><?xml version="1.0" encoding="utf-8"?>
<ds:datastoreItem xmlns:ds="http://schemas.openxmlformats.org/officeDocument/2006/customXml" ds:itemID="{90FA1A81-69BA-4B8B-9297-988309BAD7BB}">
  <ds:schemaRefs/>
</ds:datastoreItem>
</file>

<file path=customXml/itemProps6.xml><?xml version="1.0" encoding="utf-8"?>
<ds:datastoreItem xmlns:ds="http://schemas.openxmlformats.org/officeDocument/2006/customXml" ds:itemID="{50C55884-C12C-4681-9553-993722E6E0A0}">
  <ds:schemaRefs/>
</ds:datastoreItem>
</file>

<file path=customXml/itemProps7.xml><?xml version="1.0" encoding="utf-8"?>
<ds:datastoreItem xmlns:ds="http://schemas.openxmlformats.org/officeDocument/2006/customXml" ds:itemID="{77112F87-33D1-4420-AF09-613F0C4B581A}">
  <ds:schemaRefs>
    <ds:schemaRef ds:uri="http://schemas.microsoft.com/DataMashup"/>
  </ds:schemaRefs>
</ds:datastoreItem>
</file>

<file path=customXml/itemProps8.xml><?xml version="1.0" encoding="utf-8"?>
<ds:datastoreItem xmlns:ds="http://schemas.openxmlformats.org/officeDocument/2006/customXml" ds:itemID="{3C350E6F-0558-4A4E-A050-FA15C4360093}">
  <ds:schemaRefs/>
</ds:datastoreItem>
</file>

<file path=customXml/itemProps9.xml><?xml version="1.0" encoding="utf-8"?>
<ds:datastoreItem xmlns:ds="http://schemas.openxmlformats.org/officeDocument/2006/customXml" ds:itemID="{6BFFEBAE-64D3-4A75-8A40-56B8C0133140}">
  <ds:schemaRefs/>
</ds:datastoreItem>
</file>

<file path=customXml/itemProps10.xml><?xml version="1.0" encoding="utf-8"?>
<ds:datastoreItem xmlns:ds="http://schemas.openxmlformats.org/officeDocument/2006/customXml" ds:itemID="{49BDC436-336E-4CEF-BF3D-AA0F474A9D6C}">
  <ds:schemaRefs/>
</ds:datastoreItem>
</file>

<file path=customXml/itemProps11.xml><?xml version="1.0" encoding="utf-8"?>
<ds:datastoreItem xmlns:ds="http://schemas.openxmlformats.org/officeDocument/2006/customXml" ds:itemID="{2A56B4AB-381F-4499-99F1-5118216C9C17}">
  <ds:schemaRefs/>
</ds:datastoreItem>
</file>

<file path=customXml/itemProps12.xml><?xml version="1.0" encoding="utf-8"?>
<ds:datastoreItem xmlns:ds="http://schemas.openxmlformats.org/officeDocument/2006/customXml" ds:itemID="{9DAA816C-0586-4C6C-9FCA-96543780E5F4}">
  <ds:schemaRefs/>
</ds:datastoreItem>
</file>

<file path=customXml/itemProps13.xml><?xml version="1.0" encoding="utf-8"?>
<ds:datastoreItem xmlns:ds="http://schemas.openxmlformats.org/officeDocument/2006/customXml" ds:itemID="{F23F83A9-203E-4B2F-9B01-B8F25281A152}">
  <ds:schemaRefs/>
</ds:datastoreItem>
</file>

<file path=customXml/itemProps14.xml><?xml version="1.0" encoding="utf-8"?>
<ds:datastoreItem xmlns:ds="http://schemas.openxmlformats.org/officeDocument/2006/customXml" ds:itemID="{203EF9DF-5E61-47F9-81B5-A5BA52CEC229}">
  <ds:schemaRefs/>
</ds:datastoreItem>
</file>

<file path=customXml/itemProps15.xml><?xml version="1.0" encoding="utf-8"?>
<ds:datastoreItem xmlns:ds="http://schemas.openxmlformats.org/officeDocument/2006/customXml" ds:itemID="{80F8936C-2738-4970-B1E4-4574CDA5816E}">
  <ds:schemaRefs/>
</ds:datastoreItem>
</file>

<file path=customXml/itemProps16.xml><?xml version="1.0" encoding="utf-8"?>
<ds:datastoreItem xmlns:ds="http://schemas.openxmlformats.org/officeDocument/2006/customXml" ds:itemID="{3ECD22AA-2621-4631-BE5A-8475B460F619}">
  <ds:schemaRefs/>
</ds:datastoreItem>
</file>

<file path=customXml/itemProps17.xml><?xml version="1.0" encoding="utf-8"?>
<ds:datastoreItem xmlns:ds="http://schemas.openxmlformats.org/officeDocument/2006/customXml" ds:itemID="{68EB147A-7E98-4F76-A5CE-E39E87A07C9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More Details</vt:lpstr>
      <vt:lpstr>Tax rates</vt:lpstr>
      <vt:lpstr>Transportation</vt:lpstr>
      <vt:lpstr>Cost of living</vt:lpstr>
      <vt:lpstr>Healthcare</vt:lpstr>
      <vt:lpstr>Safety rate</vt:lpstr>
      <vt:lpstr>Temperature</vt:lpstr>
      <vt:lpstr>Biblography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Raeesha Musani</dc:creator>
  <cp:lastModifiedBy>Raeesha Musani</cp:lastModifiedBy>
  <dcterms:created xsi:type="dcterms:W3CDTF">2024-12-07T19:22:00Z</dcterms:created>
  <dcterms:modified xsi:type="dcterms:W3CDTF">2025-01-23T19:59:17Z</dcterms:modified>
</cp:coreProperties>
</file>